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IT ANNI\Desktop\"/>
    </mc:Choice>
  </mc:AlternateContent>
  <xr:revisionPtr revIDLastSave="0" documentId="13_ncr:1_{41EF9A47-3965-4FE5-BA9C-9C412F3CC992}" xr6:coauthVersionLast="47" xr6:coauthVersionMax="47" xr10:uidLastSave="{00000000-0000-0000-0000-000000000000}"/>
  <bookViews>
    <workbookView xWindow="-108" yWindow="-108" windowWidth="23256" windowHeight="12456" activeTab="2" xr2:uid="{C582A94F-F5FE-4942-9EE7-34BF1B8E35F7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0" i="3" l="1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" i="3"/>
  <c r="M2" i="2"/>
  <c r="L5" i="2"/>
  <c r="L4" i="2"/>
  <c r="L3" i="2"/>
  <c r="L2" i="2"/>
  <c r="K5" i="2"/>
  <c r="K4" i="2"/>
  <c r="K3" i="2"/>
  <c r="K2" i="2"/>
  <c r="F52" i="1"/>
  <c r="I52" i="1"/>
  <c r="P15" i="1"/>
  <c r="N16" i="1"/>
  <c r="N7" i="1"/>
  <c r="N6" i="1"/>
</calcChain>
</file>

<file path=xl/sharedStrings.xml><?xml version="1.0" encoding="utf-8"?>
<sst xmlns="http://schemas.openxmlformats.org/spreadsheetml/2006/main" count="1476" uniqueCount="340">
  <si>
    <t>Order ID</t>
  </si>
  <si>
    <t>Date</t>
  </si>
  <si>
    <t>Region</t>
  </si>
  <si>
    <t>Product</t>
  </si>
  <si>
    <t>Category</t>
  </si>
  <si>
    <t>Units Sold</t>
  </si>
  <si>
    <t>Unit Price ($)</t>
  </si>
  <si>
    <t>Discount (%)</t>
  </si>
  <si>
    <t>Total Revenue ($)</t>
  </si>
  <si>
    <t>ORD-1001</t>
  </si>
  <si>
    <t>North</t>
  </si>
  <si>
    <t>Notebook Set</t>
  </si>
  <si>
    <t>Stationery</t>
  </si>
  <si>
    <t>ORD-1002</t>
  </si>
  <si>
    <t>Central</t>
  </si>
  <si>
    <t>Wireless Mouse</t>
  </si>
  <si>
    <t>Electronics</t>
  </si>
  <si>
    <t>ORD-1003</t>
  </si>
  <si>
    <t>Desk Lamp</t>
  </si>
  <si>
    <t>Furniture</t>
  </si>
  <si>
    <t>ORD-1004</t>
  </si>
  <si>
    <t>ORD-1005</t>
  </si>
  <si>
    <t>West</t>
  </si>
  <si>
    <t>Marker Set</t>
  </si>
  <si>
    <t>ORD-1006</t>
  </si>
  <si>
    <t>East</t>
  </si>
  <si>
    <t>ORD-1007</t>
  </si>
  <si>
    <t>Monitor 27"</t>
  </si>
  <si>
    <t>ORD-1008</t>
  </si>
  <si>
    <t>Laptop Pro</t>
  </si>
  <si>
    <t>ORD-1009</t>
  </si>
  <si>
    <t>ORD-1010</t>
  </si>
  <si>
    <t>ORD-1011</t>
  </si>
  <si>
    <t>ORD-1012</t>
  </si>
  <si>
    <t>Pen Pack</t>
  </si>
  <si>
    <t>ORD-1013</t>
  </si>
  <si>
    <t>ORD-1014</t>
  </si>
  <si>
    <t>South</t>
  </si>
  <si>
    <t>Keyboard</t>
  </si>
  <si>
    <t>ORD-1015</t>
  </si>
  <si>
    <t>ORD-1016</t>
  </si>
  <si>
    <t>ORD-1017</t>
  </si>
  <si>
    <t>ORD-1018</t>
  </si>
  <si>
    <t>ORD-1019</t>
  </si>
  <si>
    <t>ORD-1020</t>
  </si>
  <si>
    <t>Office Chair</t>
  </si>
  <si>
    <t>ORD-1021</t>
  </si>
  <si>
    <t>ORD-1022</t>
  </si>
  <si>
    <t>ORD-1023</t>
  </si>
  <si>
    <t>ORD-1024</t>
  </si>
  <si>
    <t>ORD-1025</t>
  </si>
  <si>
    <t>ORD-1026</t>
  </si>
  <si>
    <t>Filing Cabinet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</si>
  <si>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</si>
  <si>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</si>
  <si>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</si>
  <si>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</si>
  <si>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</si>
  <si>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</si>
  <si>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</si>
  <si>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</si>
  <si>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</si>
  <si>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</si>
  <si>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</si>
  <si>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</si>
  <si>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</si>
  <si>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</si>
  <si>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</si>
  <si>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</si>
  <si>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</si>
  <si>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</si>
  <si>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</si>
  <si>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</si>
  <si>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</si>
  <si>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</si>
  <si>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</si>
  <si>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</si>
  <si>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Total units sold</t>
  </si>
  <si>
    <t>Toal Revenue</t>
  </si>
  <si>
    <t>Total unit price</t>
  </si>
  <si>
    <t>Units sold</t>
  </si>
  <si>
    <t>Emp_ID</t>
  </si>
  <si>
    <t>Employee_Name</t>
  </si>
  <si>
    <t>Department</t>
  </si>
  <si>
    <t>Month</t>
  </si>
  <si>
    <t>Units_Sold</t>
  </si>
  <si>
    <t>Unit_Price</t>
  </si>
  <si>
    <t>Total_Sales</t>
  </si>
  <si>
    <t>Target</t>
  </si>
  <si>
    <t>Commission_Rate</t>
  </si>
  <si>
    <t>EMP1001</t>
  </si>
  <si>
    <t>Karen Thomas</t>
  </si>
  <si>
    <t>Dec</t>
  </si>
  <si>
    <t>EMP1002</t>
  </si>
  <si>
    <t>Grocery</t>
  </si>
  <si>
    <t>Oct</t>
  </si>
  <si>
    <t>EMP1003</t>
  </si>
  <si>
    <t>david brown</t>
  </si>
  <si>
    <t>Jan</t>
  </si>
  <si>
    <t>EMP1004</t>
  </si>
  <si>
    <t>Grace Wilson</t>
  </si>
  <si>
    <t>Clothing</t>
  </si>
  <si>
    <t>EMP1005</t>
  </si>
  <si>
    <t>liam jackson</t>
  </si>
  <si>
    <t>Sports</t>
  </si>
  <si>
    <t>May</t>
  </si>
  <si>
    <t>EMP1006</t>
  </si>
  <si>
    <t>bob smith</t>
  </si>
  <si>
    <t>Jun</t>
  </si>
  <si>
    <t>EMP1007</t>
  </si>
  <si>
    <t>IVY TAYLOR</t>
  </si>
  <si>
    <t>Feb</t>
  </si>
  <si>
    <t>EMP1008</t>
  </si>
  <si>
    <t>OLIVIA LEE</t>
  </si>
  <si>
    <t>Apr</t>
  </si>
  <si>
    <t>EMP1009</t>
  </si>
  <si>
    <t>MONA HARRIS</t>
  </si>
  <si>
    <t>EMP1010</t>
  </si>
  <si>
    <t>CAROL WHITE</t>
  </si>
  <si>
    <t>EMP1011</t>
  </si>
  <si>
    <t>jack anderson</t>
  </si>
  <si>
    <t>EMP1012</t>
  </si>
  <si>
    <t>Nov</t>
  </si>
  <si>
    <t>EMP1013</t>
  </si>
  <si>
    <t>noah martin</t>
  </si>
  <si>
    <t>Jul</t>
  </si>
  <si>
    <t>EMP1014</t>
  </si>
  <si>
    <t>EMP1015</t>
  </si>
  <si>
    <t>EMP1016</t>
  </si>
  <si>
    <t>frank miller</t>
  </si>
  <si>
    <t>Sep</t>
  </si>
  <si>
    <t>EMP1017</t>
  </si>
  <si>
    <t>EMP1018</t>
  </si>
  <si>
    <t>EMP1019</t>
  </si>
  <si>
    <t>EMP1020</t>
  </si>
  <si>
    <t>Mar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</si>
  <si>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</si>
  <si>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</si>
  <si>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</si>
  <si>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</si>
  <si>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</si>
  <si>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</si>
  <si>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</si>
  <si>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</si>
  <si>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</si>
  <si>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</si>
  <si>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</si>
  <si>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</si>
  <si>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</si>
  <si>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</si>
  <si>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Aug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</si>
  <si>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</si>
  <si>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</si>
  <si>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</si>
  <si>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</si>
  <si>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</si>
  <si>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</si>
  <si>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</si>
  <si>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</si>
  <si>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</si>
  <si>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</si>
  <si>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</si>
  <si>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henry moore</t>
  </si>
  <si>
    <t>EMP1046</t>
  </si>
  <si>
    <t>EMP1047</t>
  </si>
  <si>
    <t>EMP1048</t>
  </si>
  <si>
    <t>EMP1049</t>
  </si>
  <si>
    <t>EMP1050</t>
  </si>
  <si>
    <t>EMP1051</t>
  </si>
  <si>
    <t>Alice Johnson</t>
  </si>
  <si>
    <t>EMP1052</t>
  </si>
  <si>
    <t>EMP1053</t>
  </si>
  <si>
    <t>EMP1054</t>
  </si>
  <si>
    <t>EVE DAVIS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</si>
  <si>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</si>
  <si>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</si>
  <si>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</si>
  <si>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</si>
  <si>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</si>
  <si>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</si>
  <si>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</si>
  <si>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</si>
  <si>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</si>
  <si>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</si>
  <si>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</si>
  <si>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</si>
  <si>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</si>
  <si>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</si>
  <si>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</si>
  <si>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</si>
  <si>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</si>
  <si>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</si>
  <si>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</si>
  <si>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</si>
  <si>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</si>
  <si>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</si>
  <si>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</si>
  <si>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</si>
  <si>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</si>
  <si>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</si>
  <si>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</si>
  <si>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</si>
  <si>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</si>
  <si>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</si>
  <si>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</si>
  <si>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</si>
  <si>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</si>
  <si>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</si>
  <si>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</si>
  <si>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</si>
  <si>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</si>
  <si>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</si>
  <si>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</si>
  <si>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</si>
  <si>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</si>
  <si>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</si>
  <si>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</si>
  <si>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</si>
  <si>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</si>
  <si>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</si>
  <si>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</si>
  <si>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</si>
  <si>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</si>
  <si>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</si>
  <si>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</si>
  <si>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</si>
  <si>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</si>
  <si>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</si>
  <si>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</si>
  <si>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</si>
  <si>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</si>
  <si>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</si>
  <si>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</si>
  <si>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</si>
  <si>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</si>
  <si>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</si>
  <si>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</si>
  <si>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</si>
  <si>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</si>
  <si>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</si>
  <si>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</si>
  <si>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</si>
  <si>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</si>
  <si>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</si>
  <si>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</si>
  <si>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</si>
  <si>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</si>
  <si>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</si>
  <si>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</si>
  <si>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</si>
  <si>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</si>
  <si>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</si>
  <si>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</si>
  <si>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</si>
  <si>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</si>
  <si>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</si>
  <si>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</si>
  <si>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</si>
  <si>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</si>
  <si>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</si>
  <si>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</si>
  <si>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</si>
  <si>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</si>
  <si>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</si>
  <si>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</si>
  <si>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</si>
  <si>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</si>
  <si>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</si>
  <si>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</si>
  <si>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</si>
  <si>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</si>
  <si>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</si>
  <si>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</si>
  <si>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</si>
  <si>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</si>
  <si>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</si>
  <si>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</si>
  <si>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</si>
  <si>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</si>
  <si>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</si>
  <si>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</si>
  <si>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</si>
  <si>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</si>
  <si>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</si>
  <si>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</si>
  <si>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</si>
  <si>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</si>
  <si>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</si>
  <si>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</si>
  <si>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</si>
  <si>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</si>
  <si>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</si>
  <si>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</si>
  <si>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</si>
  <si>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</si>
  <si>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</si>
  <si>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</si>
  <si>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</si>
  <si>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</si>
  <si>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</si>
  <si>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</si>
  <si>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</si>
  <si>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</si>
  <si>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</si>
  <si>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</si>
  <si>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</si>
  <si>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</si>
  <si>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</si>
  <si>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</si>
  <si>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</si>
  <si>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</si>
  <si>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</si>
  <si>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</si>
  <si>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</si>
  <si>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</si>
  <si>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</si>
  <si>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</si>
  <si>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</si>
  <si>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</si>
  <si>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</si>
  <si>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sum</t>
  </si>
  <si>
    <t>Minimum-Units sold</t>
  </si>
  <si>
    <t>Highest total sales value</t>
  </si>
  <si>
    <t>Count Unit price column G</t>
  </si>
  <si>
    <t>Count Comission Rate Column J</t>
  </si>
  <si>
    <t>Average of Unit price (Col G)</t>
  </si>
  <si>
    <t>Average of Unit sold(Col F)</t>
  </si>
  <si>
    <t xml:space="preserve">Averageif for north transactions </t>
  </si>
  <si>
    <t>Averageif for Units sold on electronics</t>
  </si>
  <si>
    <t>Average tot sales for north region and electronics</t>
  </si>
  <si>
    <t>Average of Commision rate for south employees who sold furniture</t>
  </si>
  <si>
    <t>IF for H2&gt;I2 Print met target or below target</t>
  </si>
  <si>
    <t>If for C2&gt;=100,then 500 or 0</t>
  </si>
  <si>
    <t>SUMIF for Tot Revenue (H)In east region(D)</t>
  </si>
  <si>
    <t>SUMIF for Tot sales (H)for sports dep (Col C)</t>
  </si>
  <si>
    <t>Countif only for west region(D)</t>
  </si>
  <si>
    <t>Countif for units sold(Col F)&gt;100</t>
  </si>
  <si>
    <t>ROW-2 -Emp id -Last 4 digits</t>
  </si>
  <si>
    <t>Upper for C2</t>
  </si>
  <si>
    <t>Lower for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</si>
</sst>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DEEFF"/>
        <bgColor indexed="64"/>
      </patternFill>
    </fill>
  </fills>
  <borders count="29">
    <border>
      <left/>
      <right/>
      <top/>
      <bottom/>
      <diagonal/>
    </border>
    <border>
      <left/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/>
      <top/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CCCCCC"/>
      </left>
      <right/>
      <top style="medium">
        <color rgb="FFCCCCCC"/>
      </top>
      <bottom style="medium">
        <color rgb="FF8EA9DB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theme="2"/>
      </right>
      <top/>
      <bottom/>
      <diagonal/>
    </border>
    <border>
      <left style="medium">
        <color rgb="FF000000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medium">
        <color rgb="FFCCCCCC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wrapText="1"/>
    </xf>
    <xf numFmtId="14" fontId="2" fillId="3" borderId="5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4" fontId="2" fillId="0" borderId="5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14" fontId="2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0" fillId="5" borderId="0" xfId="0" applyFill="1"/>
    <xf numFmtId="0" fontId="1" fillId="2" borderId="3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6" borderId="10" xfId="0" applyFont="1" applyFill="1" applyBorder="1" applyAlignment="1">
      <alignment horizontal="center" vertical="center" wrapText="1"/>
    </xf>
    <xf numFmtId="10" fontId="2" fillId="6" borderId="1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0" fontId="2" fillId="0" borderId="10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0" fontId="2" fillId="0" borderId="16" xfId="0" applyNumberFormat="1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4" xfId="0" applyBorder="1" applyAlignment="1">
      <alignment horizontal="right"/>
    </xf>
    <xf numFmtId="0" fontId="0" fillId="0" borderId="27" xfId="0" applyBorder="1"/>
    <xf numFmtId="0" fontId="0" fillId="0" borderId="28" xfId="0" applyBorder="1"/>
    <xf numFmtId="10" fontId="2" fillId="0" borderId="1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DDEEFF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</border>
    </dxf>
    <dxf>
      <border outline="0"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8EA9DB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F4E79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3FEB3-D860-41AE-BAB7-26AD827BA921}" name="Order" displayName="Order" ref="A1:I52" totalsRowCount="1" headerRowDxfId="55" dataDxfId="53" headerRowBorderDxfId="54" tableBorderDxfId="52" totalsRowBorderDxfId="51">
  <autoFilter ref="A1:I51" xr:uid="{A3C3FEB3-D860-41AE-BAB7-26AD827BA921}"/>
  <tableColumns count="9">
    <tableColumn id="1" xr3:uid="{9E689B74-D81A-4375-8629-12AAD629A355}" name="Order ID" dataDxfId="50" totalsRowDxfId="49"/>
    <tableColumn id="2" xr3:uid="{72954CA2-D79C-41AC-BD1E-1F41E66E9D20}" name="Date" dataDxfId="48" totalsRowDxfId="47"/>
    <tableColumn id="3" xr3:uid="{172FE37F-71D6-4E58-994A-A0ABF6C6EDAB}" name="Region" dataDxfId="46" totalsRowDxfId="45"/>
    <tableColumn id="4" xr3:uid="{0D863542-35AC-4932-9D74-DDBAB79E50B8}" name="Product" dataDxfId="44" totalsRowDxfId="43"/>
    <tableColumn id="5" xr3:uid="{88E428C1-336A-4464-9CDC-358F3C491711}" name="Category" dataDxfId="42" totalsRowDxfId="41"/>
    <tableColumn id="6" xr3:uid="{617E015E-C47E-47ED-82BA-5B066B6EC5B8}" name="Units Sold" totalsRowFunction="custom" dataDxfId="40" totalsRowDxfId="39">
      <totalsRowFormula>SUM(F2:F51)</totalsRowFormula>
    </tableColumn>
    <tableColumn id="7" xr3:uid="{367D1BFF-8C9A-45C4-AC97-E304D428AB61}" name="Unit Price ($)" dataDxfId="38" totalsRowDxfId="37"/>
    <tableColumn id="8" xr3:uid="{C27405C2-F5B7-4679-A374-D167BF376725}" name="Discount (%)" dataDxfId="36" totalsRowDxfId="35"/>
    <tableColumn id="9" xr3:uid="{182725E7-78E3-44CD-8839-7D5EFB987C6D}" name="Total Revenue ($)" totalsRowFunction="custom" dataDxfId="34" totalsRowDxfId="33">
      <totalsRowFormula>SUM(I2:I51)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A4DA7B-AC7B-4CAD-AD63-ED1B77F72BE3}" name="Order_db1" displayName="Order_db1" ref="K10:P15" totalsRowCount="1" headerRowDxfId="32" headerRowBorderDxfId="31" tableBorderDxfId="30" totalsRowBorderDxfId="29">
  <autoFilter ref="K10:P14" xr:uid="{4BA4DA7B-AC7B-4CAD-AD63-ED1B77F72BE3}"/>
  <tableColumns count="6">
    <tableColumn id="1" xr3:uid="{D8C706C6-CC12-466E-B1AB-9B499C4CF81A}" name="Order ID"/>
    <tableColumn id="2" xr3:uid="{A7EC06AF-B111-42E8-B73E-88598B8C4257}" name="Date"/>
    <tableColumn id="3" xr3:uid="{0CFC861F-79EA-4E95-B14F-A59694CEC621}" name="Region"/>
    <tableColumn id="4" xr3:uid="{5D72A40E-A4FC-4634-9729-DD5C5F7963E4}" name="Product"/>
    <tableColumn id="5" xr3:uid="{2BEF4356-6549-4501-B0F3-5F2736604259}" name="Category"/>
    <tableColumn id="6" xr3:uid="{757742BB-ECA2-4A29-9971-25182C71288B}" name="Unit Price ($)" totalsRowFunction="custom">
      <totalsRowFormula>SUM(P11:P14)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966FE1-B2DC-4BEA-AD3D-58F8D4602A80}" name="order_db" displayName="order_db" ref="A1:I51" totalsRowShown="0" headerRowDxfId="28" dataDxfId="26" headerRowBorderDxfId="27" tableBorderDxfId="25" totalsRowBorderDxfId="24">
  <autoFilter ref="A1:I51" xr:uid="{51966FE1-B2DC-4BEA-AD3D-58F8D4602A80}"/>
  <tableColumns count="9">
    <tableColumn id="1" xr3:uid="{8586C8D0-CD7C-4559-81E6-C1EEE6DFC685}" name="Order ID" dataDxfId="23"/>
    <tableColumn id="2" xr3:uid="{BA8CE788-F1AA-4000-9638-5284AF2DBA0A}" name="Date" dataDxfId="22"/>
    <tableColumn id="3" xr3:uid="{DB53B019-501B-4703-8D45-41E08A4120AE}" name="Region" dataDxfId="21"/>
    <tableColumn id="4" xr3:uid="{927AD88F-3303-43CF-82A8-ABCA63831CD4}" name="Product" dataDxfId="20"/>
    <tableColumn id="5" xr3:uid="{A1E03588-BB21-40E5-91B6-59A577F4E649}" name="Category" dataDxfId="19"/>
    <tableColumn id="6" xr3:uid="{9552B42A-120F-4EA1-805B-00224C8F3350}" name="Units Sold" dataDxfId="18"/>
    <tableColumn id="7" xr3:uid="{5A97A41C-DB42-4C21-B94E-4374CC945ACD}" name="Unit Price ($)" dataDxfId="17"/>
    <tableColumn id="8" xr3:uid="{0046579E-B57E-478D-9A3A-B9FBF0EC3750}" name="Discount (%)" dataDxfId="16"/>
    <tableColumn id="9" xr3:uid="{1FCAEA69-13FF-46CE-87A8-743994B17EA3}" name="Total Revenue ($)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DB862F-56AC-4736-8665-8B0C18550E41}" name="Emp_db" displayName="Emp_db" ref="A1:J201" totalsRowShown="0" headerRowDxfId="14" dataDxfId="13" headerRowBorderDxfId="11" tableBorderDxfId="12" totalsRowBorderDxfId="10">
  <autoFilter ref="A1:J201" xr:uid="{80DB862F-56AC-4736-8665-8B0C18550E41}"/>
  <tableColumns count="10">
    <tableColumn id="1" xr3:uid="{666CAB76-D7BD-43AD-8837-5BAD854C93F2}" name="Emp_ID" dataDxfId="9"/>
    <tableColumn id="2" xr3:uid="{BE79A9FA-C5DF-4D0A-AF6F-1D620CF874E7}" name="Employee_Name" dataDxfId="8"/>
    <tableColumn id="3" xr3:uid="{38F32220-E702-4D9E-8422-7F0F5F02F1CC}" name="Department" dataDxfId="7"/>
    <tableColumn id="4" xr3:uid="{2D3E2329-8E01-4743-AE47-26C37D32C3DF}" name="Region" dataDxfId="6"/>
    <tableColumn id="5" xr3:uid="{131A19A1-BB67-4648-A70D-DC469A136DE5}" name="Month" dataDxfId="5"/>
    <tableColumn id="6" xr3:uid="{2AEBA200-BA45-45E6-A461-E8C3458CC4C7}" name="Units_Sold" dataDxfId="4"/>
    <tableColumn id="7" xr3:uid="{066D4C22-BB4D-4468-A917-D7AEA46AAD5C}" name="Unit_Price" dataDxfId="3"/>
    <tableColumn id="8" xr3:uid="{92BEC5D0-7020-40B9-BD86-323B4B6D0E54}" name="Total_Sales" dataDxfId="2"/>
    <tableColumn id="9" xr3:uid="{93D1FC27-0350-4DBD-9772-FBD173F12132}" name="Target" dataDxfId="1"/>
    <tableColumn id="10" xr3:uid="{ABD347B7-2F53-4160-B3EF-9A3AF061FC26}" name="Commission_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E014-8FDA-4D2D-9A1D-3D1C83DA207F}">
  <dimension ref="A1:P52"/>
  <sheetViews>
    <sheetView workbookViewId="0">
      <selection activeCell="F52" sqref="F52"/>
    </sheetView>
  </sheetViews>
  <sheetFormatPr defaultColWidth="8.77734375" defaultRowHeight="14.4" x14ac:dyDescent="0.3"/>
  <cols>
    <col min="1" max="1" width="11" bestFit="1" customWidth="1"/>
    <col min="2" max="2" width="10.109375" bestFit="1" customWidth="1"/>
    <col min="3" max="3" width="12.33203125" bestFit="1" customWidth="1"/>
    <col min="4" max="4" width="13" bestFit="1" customWidth="1"/>
    <col min="5" max="5" width="13.109375" bestFit="1" customWidth="1"/>
    <col min="6" max="7" width="10.44140625" bestFit="1" customWidth="1"/>
    <col min="8" max="8" width="12.109375" bestFit="1" customWidth="1"/>
    <col min="9" max="9" width="22.77734375" bestFit="1" customWidth="1"/>
    <col min="11" max="11" width="11" customWidth="1"/>
    <col min="13" max="13" width="12.88671875" customWidth="1"/>
    <col min="14" max="14" width="10.44140625" customWidth="1"/>
    <col min="15" max="15" width="11.77734375" customWidth="1"/>
    <col min="16" max="16" width="15.33203125" customWidth="1"/>
  </cols>
  <sheetData>
    <row r="1" spans="1:16" ht="28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6" ht="15" thickBot="1" x14ac:dyDescent="0.35">
      <c r="A2" s="4" t="s">
        <v>9</v>
      </c>
      <c r="B2" s="5">
        <v>45619</v>
      </c>
      <c r="C2" s="6" t="s">
        <v>10</v>
      </c>
      <c r="D2" s="6" t="s">
        <v>11</v>
      </c>
      <c r="E2" s="6" t="s">
        <v>12</v>
      </c>
      <c r="F2" s="6">
        <v>16</v>
      </c>
      <c r="G2" s="6">
        <v>19.989999999999998</v>
      </c>
      <c r="H2" s="6">
        <v>5</v>
      </c>
      <c r="I2" s="7">
        <v>303.85000000000002</v>
      </c>
    </row>
    <row r="3" spans="1:16" ht="27.6" thickBot="1" x14ac:dyDescent="0.35">
      <c r="A3" s="8" t="s">
        <v>13</v>
      </c>
      <c r="B3" s="9">
        <v>45363</v>
      </c>
      <c r="C3" s="10" t="s">
        <v>14</v>
      </c>
      <c r="D3" s="10" t="s">
        <v>15</v>
      </c>
      <c r="E3" s="10" t="s">
        <v>16</v>
      </c>
      <c r="F3" s="10">
        <v>38</v>
      </c>
      <c r="G3" s="10">
        <v>29.99</v>
      </c>
      <c r="H3" s="10">
        <v>15</v>
      </c>
      <c r="I3" s="11">
        <v>968.68</v>
      </c>
    </row>
    <row r="4" spans="1:16" ht="15" thickBot="1" x14ac:dyDescent="0.35">
      <c r="A4" s="4" t="s">
        <v>17</v>
      </c>
      <c r="B4" s="5">
        <v>45308</v>
      </c>
      <c r="C4" s="6" t="s">
        <v>10</v>
      </c>
      <c r="D4" s="6" t="s">
        <v>18</v>
      </c>
      <c r="E4" s="6" t="s">
        <v>19</v>
      </c>
      <c r="F4" s="6">
        <v>15</v>
      </c>
      <c r="G4" s="6">
        <v>49.99</v>
      </c>
      <c r="H4" s="6">
        <v>20</v>
      </c>
      <c r="I4" s="7">
        <v>599.88</v>
      </c>
    </row>
    <row r="5" spans="1:16" ht="15" thickBot="1" x14ac:dyDescent="0.35">
      <c r="A5" s="8" t="s">
        <v>20</v>
      </c>
      <c r="B5" s="9">
        <v>45600</v>
      </c>
      <c r="C5" s="10" t="s">
        <v>14</v>
      </c>
      <c r="D5" s="10" t="s">
        <v>18</v>
      </c>
      <c r="E5" s="10" t="s">
        <v>19</v>
      </c>
      <c r="F5" s="10">
        <v>46</v>
      </c>
      <c r="G5" s="10">
        <v>49.99</v>
      </c>
      <c r="H5" s="10">
        <v>20</v>
      </c>
      <c r="I5" s="11">
        <v>1839.63</v>
      </c>
    </row>
    <row r="6" spans="1:16" ht="15" thickBot="1" x14ac:dyDescent="0.35">
      <c r="A6" s="4" t="s">
        <v>21</v>
      </c>
      <c r="B6" s="5">
        <v>45506</v>
      </c>
      <c r="C6" s="6" t="s">
        <v>22</v>
      </c>
      <c r="D6" s="6" t="s">
        <v>23</v>
      </c>
      <c r="E6" s="6" t="s">
        <v>12</v>
      </c>
      <c r="F6" s="6">
        <v>18</v>
      </c>
      <c r="G6" s="6">
        <v>14.99</v>
      </c>
      <c r="H6" s="6">
        <v>0</v>
      </c>
      <c r="I6" s="7">
        <v>269.82</v>
      </c>
      <c r="M6" s="17" t="s">
        <v>77</v>
      </c>
      <c r="N6">
        <f>SUM(Order[Units Sold])</f>
        <v>1307</v>
      </c>
    </row>
    <row r="7" spans="1:16" ht="15" thickBot="1" x14ac:dyDescent="0.35">
      <c r="A7" s="8" t="s">
        <v>24</v>
      </c>
      <c r="B7" s="9">
        <v>45373</v>
      </c>
      <c r="C7" s="10" t="s">
        <v>25</v>
      </c>
      <c r="D7" s="10" t="s">
        <v>11</v>
      </c>
      <c r="E7" s="10" t="s">
        <v>12</v>
      </c>
      <c r="F7" s="10">
        <v>10</v>
      </c>
      <c r="G7" s="10">
        <v>19.989999999999998</v>
      </c>
      <c r="H7" s="10">
        <v>5</v>
      </c>
      <c r="I7" s="11">
        <v>189.91</v>
      </c>
      <c r="M7" s="17" t="s">
        <v>78</v>
      </c>
      <c r="N7">
        <f>SUM(Order[Total Revenue ($)])</f>
        <v>248886.22</v>
      </c>
    </row>
    <row r="8" spans="1:16" ht="15" thickBot="1" x14ac:dyDescent="0.35">
      <c r="A8" s="4" t="s">
        <v>26</v>
      </c>
      <c r="B8" s="5">
        <v>45464</v>
      </c>
      <c r="C8" s="6" t="s">
        <v>10</v>
      </c>
      <c r="D8" s="6" t="s">
        <v>27</v>
      </c>
      <c r="E8" s="6" t="s">
        <v>16</v>
      </c>
      <c r="F8" s="6">
        <v>7</v>
      </c>
      <c r="G8" s="6">
        <v>499.99</v>
      </c>
      <c r="H8" s="6">
        <v>10</v>
      </c>
      <c r="I8" s="7">
        <v>3149.94</v>
      </c>
    </row>
    <row r="9" spans="1:16" ht="15" thickBot="1" x14ac:dyDescent="0.35">
      <c r="A9" s="8" t="s">
        <v>28</v>
      </c>
      <c r="B9" s="9">
        <v>45468</v>
      </c>
      <c r="C9" s="10" t="s">
        <v>25</v>
      </c>
      <c r="D9" s="10" t="s">
        <v>29</v>
      </c>
      <c r="E9" s="10" t="s">
        <v>16</v>
      </c>
      <c r="F9" s="10">
        <v>47</v>
      </c>
      <c r="G9" s="10">
        <v>1299.99</v>
      </c>
      <c r="H9" s="10">
        <v>15</v>
      </c>
      <c r="I9" s="11">
        <v>51934.6</v>
      </c>
    </row>
    <row r="10" spans="1:16" ht="27.6" thickBot="1" x14ac:dyDescent="0.35">
      <c r="A10" s="4" t="s">
        <v>30</v>
      </c>
      <c r="B10" s="5">
        <v>45566</v>
      </c>
      <c r="C10" s="6" t="s">
        <v>22</v>
      </c>
      <c r="D10" s="6" t="s">
        <v>15</v>
      </c>
      <c r="E10" s="6" t="s">
        <v>16</v>
      </c>
      <c r="F10" s="12">
        <v>47</v>
      </c>
      <c r="G10" s="6">
        <v>29.99</v>
      </c>
      <c r="H10" s="10">
        <v>15</v>
      </c>
      <c r="I10" s="7">
        <v>1268.58</v>
      </c>
      <c r="K10" s="1" t="s">
        <v>0</v>
      </c>
      <c r="L10" s="2" t="s">
        <v>1</v>
      </c>
      <c r="M10" s="2" t="s">
        <v>2</v>
      </c>
      <c r="N10" s="2" t="s">
        <v>3</v>
      </c>
      <c r="O10" s="2" t="s">
        <v>4</v>
      </c>
      <c r="P10" s="18" t="s">
        <v>6</v>
      </c>
    </row>
    <row r="11" spans="1:16" ht="27.6" thickBot="1" x14ac:dyDescent="0.35">
      <c r="A11" s="8" t="s">
        <v>31</v>
      </c>
      <c r="B11" s="9">
        <v>45613</v>
      </c>
      <c r="C11" s="10" t="s">
        <v>25</v>
      </c>
      <c r="D11" s="10" t="s">
        <v>23</v>
      </c>
      <c r="E11" s="10" t="s">
        <v>12</v>
      </c>
      <c r="F11" s="10">
        <v>13</v>
      </c>
      <c r="G11" s="10">
        <v>14.99</v>
      </c>
      <c r="H11" s="10">
        <v>0</v>
      </c>
      <c r="I11" s="11">
        <v>194.87</v>
      </c>
      <c r="K11" s="4" t="s">
        <v>9</v>
      </c>
      <c r="L11" s="5">
        <v>45619</v>
      </c>
      <c r="M11" s="6" t="s">
        <v>10</v>
      </c>
      <c r="N11" s="6" t="s">
        <v>11</v>
      </c>
      <c r="O11" s="6" t="s">
        <v>12</v>
      </c>
      <c r="P11" s="7">
        <v>19.989999999999998</v>
      </c>
    </row>
    <row r="12" spans="1:16" ht="27.6" thickBot="1" x14ac:dyDescent="0.35">
      <c r="A12" s="4" t="s">
        <v>32</v>
      </c>
      <c r="B12" s="5">
        <v>45315</v>
      </c>
      <c r="C12" s="6" t="s">
        <v>25</v>
      </c>
      <c r="D12" s="6" t="s">
        <v>15</v>
      </c>
      <c r="E12" s="6" t="s">
        <v>16</v>
      </c>
      <c r="F12" s="6">
        <v>15</v>
      </c>
      <c r="G12" s="6">
        <v>29.99</v>
      </c>
      <c r="H12" s="6">
        <v>0</v>
      </c>
      <c r="I12" s="7">
        <v>449.85</v>
      </c>
      <c r="K12" s="8" t="s">
        <v>13</v>
      </c>
      <c r="L12" s="9">
        <v>45363</v>
      </c>
      <c r="M12" s="10" t="s">
        <v>14</v>
      </c>
      <c r="N12" s="10" t="s">
        <v>15</v>
      </c>
      <c r="O12" s="10" t="s">
        <v>16</v>
      </c>
      <c r="P12" s="11">
        <v>29.99</v>
      </c>
    </row>
    <row r="13" spans="1:16" ht="15" thickBot="1" x14ac:dyDescent="0.35">
      <c r="A13" s="8" t="s">
        <v>33</v>
      </c>
      <c r="B13" s="9">
        <v>45486</v>
      </c>
      <c r="C13" s="10" t="s">
        <v>22</v>
      </c>
      <c r="D13" s="10" t="s">
        <v>34</v>
      </c>
      <c r="E13" s="10" t="s">
        <v>12</v>
      </c>
      <c r="F13" s="6">
        <v>15</v>
      </c>
      <c r="G13" s="10">
        <v>9.99</v>
      </c>
      <c r="H13" s="10">
        <v>10</v>
      </c>
      <c r="I13" s="11">
        <v>134.87</v>
      </c>
      <c r="K13" s="4" t="s">
        <v>17</v>
      </c>
      <c r="L13" s="5">
        <v>45308</v>
      </c>
      <c r="M13" s="6" t="s">
        <v>10</v>
      </c>
      <c r="N13" s="6" t="s">
        <v>18</v>
      </c>
      <c r="O13" s="6" t="s">
        <v>19</v>
      </c>
      <c r="P13" s="7">
        <v>49.99</v>
      </c>
    </row>
    <row r="14" spans="1:16" ht="27.6" thickBot="1" x14ac:dyDescent="0.35">
      <c r="A14" s="4" t="s">
        <v>35</v>
      </c>
      <c r="B14" s="5">
        <v>45473</v>
      </c>
      <c r="C14" s="6" t="s">
        <v>25</v>
      </c>
      <c r="D14" s="6" t="s">
        <v>15</v>
      </c>
      <c r="E14" s="6" t="s">
        <v>16</v>
      </c>
      <c r="F14" s="6">
        <v>39</v>
      </c>
      <c r="G14" s="6">
        <v>29.99</v>
      </c>
      <c r="H14" s="6">
        <v>5</v>
      </c>
      <c r="I14" s="7">
        <v>1111.1300000000001</v>
      </c>
      <c r="K14" s="13" t="s">
        <v>20</v>
      </c>
      <c r="L14" s="14">
        <v>45600</v>
      </c>
      <c r="M14" s="15" t="s">
        <v>14</v>
      </c>
      <c r="N14" s="15" t="s">
        <v>18</v>
      </c>
      <c r="O14" s="15" t="s">
        <v>19</v>
      </c>
      <c r="P14" s="16">
        <v>49.99</v>
      </c>
    </row>
    <row r="15" spans="1:16" ht="15" thickBot="1" x14ac:dyDescent="0.35">
      <c r="A15" s="8" t="s">
        <v>36</v>
      </c>
      <c r="B15" s="9">
        <v>45565</v>
      </c>
      <c r="C15" s="10" t="s">
        <v>37</v>
      </c>
      <c r="D15" s="10" t="s">
        <v>38</v>
      </c>
      <c r="E15" s="10" t="s">
        <v>16</v>
      </c>
      <c r="F15" s="10">
        <v>25</v>
      </c>
      <c r="G15" s="10">
        <v>89.99</v>
      </c>
      <c r="H15" s="10">
        <v>10</v>
      </c>
      <c r="I15" s="11">
        <v>2024.78</v>
      </c>
      <c r="P15">
        <f>SUM(P11:P14)</f>
        <v>149.96</v>
      </c>
    </row>
    <row r="16" spans="1:16" ht="15" thickBot="1" x14ac:dyDescent="0.35">
      <c r="A16" s="4" t="s">
        <v>39</v>
      </c>
      <c r="B16" s="5">
        <v>45619</v>
      </c>
      <c r="C16" s="6" t="s">
        <v>37</v>
      </c>
      <c r="D16" s="6" t="s">
        <v>34</v>
      </c>
      <c r="E16" s="6" t="s">
        <v>12</v>
      </c>
      <c r="F16" s="6">
        <v>50</v>
      </c>
      <c r="G16" s="6">
        <v>9.99</v>
      </c>
      <c r="H16" s="6">
        <v>0</v>
      </c>
      <c r="I16" s="7">
        <v>499.5</v>
      </c>
      <c r="M16" s="17" t="s">
        <v>79</v>
      </c>
      <c r="N16">
        <f>SUM(Order_db1[Unit Price ($)])</f>
        <v>149.96</v>
      </c>
    </row>
    <row r="17" spans="1:9" ht="15" thickBot="1" x14ac:dyDescent="0.35">
      <c r="A17" s="8" t="s">
        <v>40</v>
      </c>
      <c r="B17" s="9">
        <v>45409</v>
      </c>
      <c r="C17" s="10" t="s">
        <v>25</v>
      </c>
      <c r="D17" s="10" t="s">
        <v>27</v>
      </c>
      <c r="E17" s="10" t="s">
        <v>16</v>
      </c>
      <c r="F17" s="10">
        <v>18</v>
      </c>
      <c r="G17" s="10">
        <v>499.99</v>
      </c>
      <c r="H17" s="10">
        <v>0</v>
      </c>
      <c r="I17" s="11">
        <v>8999.82</v>
      </c>
    </row>
    <row r="18" spans="1:9" ht="15" thickBot="1" x14ac:dyDescent="0.35">
      <c r="A18" s="4" t="s">
        <v>41</v>
      </c>
      <c r="B18" s="5">
        <v>45400</v>
      </c>
      <c r="C18" s="6" t="s">
        <v>25</v>
      </c>
      <c r="D18" s="6" t="s">
        <v>18</v>
      </c>
      <c r="E18" s="6" t="s">
        <v>19</v>
      </c>
      <c r="F18" s="6">
        <v>42</v>
      </c>
      <c r="G18" s="6">
        <v>49.99</v>
      </c>
      <c r="H18" s="6">
        <v>15</v>
      </c>
      <c r="I18" s="7">
        <v>1784.64</v>
      </c>
    </row>
    <row r="19" spans="1:9" ht="15" thickBot="1" x14ac:dyDescent="0.35">
      <c r="A19" s="8" t="s">
        <v>42</v>
      </c>
      <c r="B19" s="9">
        <v>45494</v>
      </c>
      <c r="C19" s="10" t="s">
        <v>37</v>
      </c>
      <c r="D19" s="10" t="s">
        <v>11</v>
      </c>
      <c r="E19" s="10" t="s">
        <v>12</v>
      </c>
      <c r="F19" s="10">
        <v>20</v>
      </c>
      <c r="G19" s="10">
        <v>19.989999999999998</v>
      </c>
      <c r="H19" s="10">
        <v>5</v>
      </c>
      <c r="I19" s="11">
        <v>379.81</v>
      </c>
    </row>
    <row r="20" spans="1:9" ht="15" thickBot="1" x14ac:dyDescent="0.35">
      <c r="A20" s="4" t="s">
        <v>43</v>
      </c>
      <c r="B20" s="5">
        <v>45579</v>
      </c>
      <c r="C20" s="6" t="s">
        <v>25</v>
      </c>
      <c r="D20" s="6" t="s">
        <v>23</v>
      </c>
      <c r="E20" s="6" t="s">
        <v>12</v>
      </c>
      <c r="F20" s="6">
        <v>28</v>
      </c>
      <c r="G20" s="6">
        <v>14.99</v>
      </c>
      <c r="H20" s="6">
        <v>20</v>
      </c>
      <c r="I20" s="7">
        <v>335.78</v>
      </c>
    </row>
    <row r="21" spans="1:9" ht="15" thickBot="1" x14ac:dyDescent="0.35">
      <c r="A21" s="8" t="s">
        <v>44</v>
      </c>
      <c r="B21" s="9">
        <v>45496</v>
      </c>
      <c r="C21" s="10" t="s">
        <v>37</v>
      </c>
      <c r="D21" s="10" t="s">
        <v>45</v>
      </c>
      <c r="E21" s="10" t="s">
        <v>19</v>
      </c>
      <c r="F21" s="10">
        <v>33</v>
      </c>
      <c r="G21" s="10">
        <v>349.99</v>
      </c>
      <c r="H21" s="10">
        <v>15</v>
      </c>
      <c r="I21" s="11">
        <v>9817.2199999999993</v>
      </c>
    </row>
    <row r="22" spans="1:9" ht="15" thickBot="1" x14ac:dyDescent="0.35">
      <c r="A22" s="4" t="s">
        <v>46</v>
      </c>
      <c r="B22" s="5">
        <v>45338</v>
      </c>
      <c r="C22" s="6" t="s">
        <v>10</v>
      </c>
      <c r="D22" s="6" t="s">
        <v>45</v>
      </c>
      <c r="E22" s="6" t="s">
        <v>19</v>
      </c>
      <c r="F22" s="6">
        <v>41</v>
      </c>
      <c r="G22" s="6">
        <v>349.99</v>
      </c>
      <c r="H22" s="6">
        <v>5</v>
      </c>
      <c r="I22" s="7">
        <v>13632.11</v>
      </c>
    </row>
    <row r="23" spans="1:9" ht="27.6" thickBot="1" x14ac:dyDescent="0.35">
      <c r="A23" s="8" t="s">
        <v>47</v>
      </c>
      <c r="B23" s="9">
        <v>45640</v>
      </c>
      <c r="C23" s="10" t="s">
        <v>14</v>
      </c>
      <c r="D23" s="10" t="s">
        <v>15</v>
      </c>
      <c r="E23" s="10" t="s">
        <v>16</v>
      </c>
      <c r="F23" s="10">
        <v>25</v>
      </c>
      <c r="G23" s="10">
        <v>29.99</v>
      </c>
      <c r="H23" s="10">
        <v>15</v>
      </c>
      <c r="I23" s="11">
        <v>637.29</v>
      </c>
    </row>
    <row r="24" spans="1:9" ht="15" thickBot="1" x14ac:dyDescent="0.35">
      <c r="A24" s="4" t="s">
        <v>48</v>
      </c>
      <c r="B24" s="5">
        <v>45597</v>
      </c>
      <c r="C24" s="6" t="s">
        <v>14</v>
      </c>
      <c r="D24" s="6" t="s">
        <v>11</v>
      </c>
      <c r="E24" s="6" t="s">
        <v>12</v>
      </c>
      <c r="F24" s="6">
        <v>36</v>
      </c>
      <c r="G24" s="6">
        <v>19.989999999999998</v>
      </c>
      <c r="H24" s="6">
        <v>0</v>
      </c>
      <c r="I24" s="7">
        <v>719.64</v>
      </c>
    </row>
    <row r="25" spans="1:9" ht="15" thickBot="1" x14ac:dyDescent="0.35">
      <c r="A25" s="8" t="s">
        <v>49</v>
      </c>
      <c r="B25" s="9">
        <v>45640</v>
      </c>
      <c r="C25" s="10" t="s">
        <v>14</v>
      </c>
      <c r="D25" s="10" t="s">
        <v>11</v>
      </c>
      <c r="E25" s="10" t="s">
        <v>12</v>
      </c>
      <c r="F25" s="10">
        <v>50</v>
      </c>
      <c r="G25" s="10">
        <v>19.989999999999998</v>
      </c>
      <c r="H25" s="10">
        <v>10</v>
      </c>
      <c r="I25" s="11">
        <v>899.55</v>
      </c>
    </row>
    <row r="26" spans="1:9" ht="15" thickBot="1" x14ac:dyDescent="0.35">
      <c r="A26" s="4" t="s">
        <v>50</v>
      </c>
      <c r="B26" s="5">
        <v>45349</v>
      </c>
      <c r="C26" s="6" t="s">
        <v>22</v>
      </c>
      <c r="D26" s="6" t="s">
        <v>45</v>
      </c>
      <c r="E26" s="6" t="s">
        <v>19</v>
      </c>
      <c r="F26" s="6">
        <v>30</v>
      </c>
      <c r="G26" s="6">
        <v>349.99</v>
      </c>
      <c r="H26" s="6">
        <v>0</v>
      </c>
      <c r="I26" s="7">
        <v>10499.7</v>
      </c>
    </row>
    <row r="27" spans="1:9" ht="15" thickBot="1" x14ac:dyDescent="0.35">
      <c r="A27" s="8" t="s">
        <v>51</v>
      </c>
      <c r="B27" s="9">
        <v>45426</v>
      </c>
      <c r="C27" s="10" t="s">
        <v>37</v>
      </c>
      <c r="D27" s="10" t="s">
        <v>52</v>
      </c>
      <c r="E27" s="10" t="s">
        <v>19</v>
      </c>
      <c r="F27" s="10">
        <v>22</v>
      </c>
      <c r="G27" s="10">
        <v>199.99</v>
      </c>
      <c r="H27" s="10">
        <v>10</v>
      </c>
      <c r="I27" s="11">
        <v>3959.8</v>
      </c>
    </row>
    <row r="28" spans="1:9" ht="15" thickBot="1" x14ac:dyDescent="0.35">
      <c r="A28" s="4" t="s">
        <v>53</v>
      </c>
      <c r="B28" s="5">
        <v>45619</v>
      </c>
      <c r="C28" s="6" t="s">
        <v>14</v>
      </c>
      <c r="D28" s="6" t="s">
        <v>18</v>
      </c>
      <c r="E28" s="6" t="s">
        <v>19</v>
      </c>
      <c r="F28" s="6">
        <v>10</v>
      </c>
      <c r="G28" s="6">
        <v>49.99</v>
      </c>
      <c r="H28" s="6">
        <v>10</v>
      </c>
      <c r="I28" s="7">
        <v>449.91</v>
      </c>
    </row>
    <row r="29" spans="1:9" ht="15" thickBot="1" x14ac:dyDescent="0.35">
      <c r="A29" s="8" t="s">
        <v>54</v>
      </c>
      <c r="B29" s="9">
        <v>45374</v>
      </c>
      <c r="C29" s="10" t="s">
        <v>14</v>
      </c>
      <c r="D29" s="10" t="s">
        <v>29</v>
      </c>
      <c r="E29" s="10" t="s">
        <v>16</v>
      </c>
      <c r="F29" s="10">
        <v>39</v>
      </c>
      <c r="G29" s="10">
        <v>1299.99</v>
      </c>
      <c r="H29" s="10">
        <v>10</v>
      </c>
      <c r="I29" s="11">
        <v>45629.65</v>
      </c>
    </row>
    <row r="30" spans="1:9" ht="15" thickBot="1" x14ac:dyDescent="0.35">
      <c r="A30" s="4" t="s">
        <v>55</v>
      </c>
      <c r="B30" s="5">
        <v>45542</v>
      </c>
      <c r="C30" s="6" t="s">
        <v>10</v>
      </c>
      <c r="D30" s="6" t="s">
        <v>34</v>
      </c>
      <c r="E30" s="6" t="s">
        <v>12</v>
      </c>
      <c r="F30" s="6">
        <v>20</v>
      </c>
      <c r="G30" s="6">
        <v>9.99</v>
      </c>
      <c r="H30" s="6">
        <v>5</v>
      </c>
      <c r="I30" s="7">
        <v>189.81</v>
      </c>
    </row>
    <row r="31" spans="1:9" ht="27.6" thickBot="1" x14ac:dyDescent="0.35">
      <c r="A31" s="8" t="s">
        <v>56</v>
      </c>
      <c r="B31" s="9">
        <v>45321</v>
      </c>
      <c r="C31" s="10" t="s">
        <v>14</v>
      </c>
      <c r="D31" s="10" t="s">
        <v>15</v>
      </c>
      <c r="E31" s="10" t="s">
        <v>16</v>
      </c>
      <c r="F31" s="10">
        <v>34</v>
      </c>
      <c r="G31" s="10">
        <v>29.99</v>
      </c>
      <c r="H31" s="10">
        <v>15</v>
      </c>
      <c r="I31" s="11">
        <v>866.71</v>
      </c>
    </row>
    <row r="32" spans="1:9" ht="15" thickBot="1" x14ac:dyDescent="0.35">
      <c r="A32" s="4" t="s">
        <v>57</v>
      </c>
      <c r="B32" s="5">
        <v>45327</v>
      </c>
      <c r="C32" s="6" t="s">
        <v>37</v>
      </c>
      <c r="D32" s="6" t="s">
        <v>45</v>
      </c>
      <c r="E32" s="6" t="s">
        <v>19</v>
      </c>
      <c r="F32" s="6">
        <v>43</v>
      </c>
      <c r="G32" s="6">
        <v>349.99</v>
      </c>
      <c r="H32" s="6">
        <v>15</v>
      </c>
      <c r="I32" s="7">
        <v>12792.13</v>
      </c>
    </row>
    <row r="33" spans="1:9" ht="15" thickBot="1" x14ac:dyDescent="0.35">
      <c r="A33" s="8" t="s">
        <v>58</v>
      </c>
      <c r="B33" s="9">
        <v>45573</v>
      </c>
      <c r="C33" s="10" t="s">
        <v>25</v>
      </c>
      <c r="D33" s="10" t="s">
        <v>52</v>
      </c>
      <c r="E33" s="10" t="s">
        <v>19</v>
      </c>
      <c r="F33" s="10">
        <v>39</v>
      </c>
      <c r="G33" s="10">
        <v>199.99</v>
      </c>
      <c r="H33" s="10">
        <v>15</v>
      </c>
      <c r="I33" s="11">
        <v>6629.67</v>
      </c>
    </row>
    <row r="34" spans="1:9" ht="15" thickBot="1" x14ac:dyDescent="0.35">
      <c r="A34" s="4" t="s">
        <v>59</v>
      </c>
      <c r="B34" s="5">
        <v>45400</v>
      </c>
      <c r="C34" s="6" t="s">
        <v>37</v>
      </c>
      <c r="D34" s="6" t="s">
        <v>11</v>
      </c>
      <c r="E34" s="6" t="s">
        <v>12</v>
      </c>
      <c r="F34" s="6">
        <v>11</v>
      </c>
      <c r="G34" s="6">
        <v>19.989999999999998</v>
      </c>
      <c r="H34" s="6">
        <v>10</v>
      </c>
      <c r="I34" s="7">
        <v>197.9</v>
      </c>
    </row>
    <row r="35" spans="1:9" ht="27.6" thickBot="1" x14ac:dyDescent="0.35">
      <c r="A35" s="8" t="s">
        <v>60</v>
      </c>
      <c r="B35" s="9">
        <v>45516</v>
      </c>
      <c r="C35" s="10" t="s">
        <v>22</v>
      </c>
      <c r="D35" s="10" t="s">
        <v>15</v>
      </c>
      <c r="E35" s="10" t="s">
        <v>16</v>
      </c>
      <c r="F35" s="10">
        <v>16</v>
      </c>
      <c r="G35" s="10">
        <v>29.99</v>
      </c>
      <c r="H35" s="10">
        <v>5</v>
      </c>
      <c r="I35" s="11">
        <v>455.85</v>
      </c>
    </row>
    <row r="36" spans="1:9" ht="15" thickBot="1" x14ac:dyDescent="0.35">
      <c r="A36" s="4" t="s">
        <v>61</v>
      </c>
      <c r="B36" s="5">
        <v>45324</v>
      </c>
      <c r="C36" s="6" t="s">
        <v>10</v>
      </c>
      <c r="D36" s="6" t="s">
        <v>23</v>
      </c>
      <c r="E36" s="6" t="s">
        <v>12</v>
      </c>
      <c r="F36" s="6">
        <v>36</v>
      </c>
      <c r="G36" s="6">
        <v>14.99</v>
      </c>
      <c r="H36" s="6">
        <v>5</v>
      </c>
      <c r="I36" s="7">
        <v>512.66</v>
      </c>
    </row>
    <row r="37" spans="1:9" ht="27.6" thickBot="1" x14ac:dyDescent="0.35">
      <c r="A37" s="8" t="s">
        <v>62</v>
      </c>
      <c r="B37" s="9">
        <v>45593</v>
      </c>
      <c r="C37" s="10" t="s">
        <v>10</v>
      </c>
      <c r="D37" s="10" t="s">
        <v>15</v>
      </c>
      <c r="E37" s="10" t="s">
        <v>16</v>
      </c>
      <c r="F37" s="10">
        <v>46</v>
      </c>
      <c r="G37" s="10">
        <v>29.99</v>
      </c>
      <c r="H37" s="10">
        <v>0</v>
      </c>
      <c r="I37" s="11">
        <v>1379.54</v>
      </c>
    </row>
    <row r="38" spans="1:9" ht="15" thickBot="1" x14ac:dyDescent="0.35">
      <c r="A38" s="4" t="s">
        <v>63</v>
      </c>
      <c r="B38" s="5">
        <v>45409</v>
      </c>
      <c r="C38" s="6" t="s">
        <v>10</v>
      </c>
      <c r="D38" s="6" t="s">
        <v>34</v>
      </c>
      <c r="E38" s="6" t="s">
        <v>12</v>
      </c>
      <c r="F38" s="6">
        <v>5</v>
      </c>
      <c r="G38" s="6">
        <v>9.99</v>
      </c>
      <c r="H38" s="6">
        <v>20</v>
      </c>
      <c r="I38" s="7">
        <v>39.96</v>
      </c>
    </row>
    <row r="39" spans="1:9" ht="15" thickBot="1" x14ac:dyDescent="0.35">
      <c r="A39" s="8" t="s">
        <v>64</v>
      </c>
      <c r="B39" s="9">
        <v>45413</v>
      </c>
      <c r="C39" s="10" t="s">
        <v>22</v>
      </c>
      <c r="D39" s="10" t="s">
        <v>18</v>
      </c>
      <c r="E39" s="10" t="s">
        <v>19</v>
      </c>
      <c r="F39" s="10">
        <v>35</v>
      </c>
      <c r="G39" s="10">
        <v>49.99</v>
      </c>
      <c r="H39" s="10">
        <v>5</v>
      </c>
      <c r="I39" s="11">
        <v>1662.17</v>
      </c>
    </row>
    <row r="40" spans="1:9" ht="15" thickBot="1" x14ac:dyDescent="0.35">
      <c r="A40" s="4" t="s">
        <v>65</v>
      </c>
      <c r="B40" s="5">
        <v>45584</v>
      </c>
      <c r="C40" s="6" t="s">
        <v>22</v>
      </c>
      <c r="D40" s="6" t="s">
        <v>18</v>
      </c>
      <c r="E40" s="6" t="s">
        <v>19</v>
      </c>
      <c r="F40" s="6">
        <v>23</v>
      </c>
      <c r="G40" s="6">
        <v>49.99</v>
      </c>
      <c r="H40" s="6">
        <v>15</v>
      </c>
      <c r="I40" s="7">
        <v>977.3</v>
      </c>
    </row>
    <row r="41" spans="1:9" ht="15" thickBot="1" x14ac:dyDescent="0.35">
      <c r="A41" s="8" t="s">
        <v>66</v>
      </c>
      <c r="B41" s="9">
        <v>45389</v>
      </c>
      <c r="C41" s="10" t="s">
        <v>10</v>
      </c>
      <c r="D41" s="10" t="s">
        <v>27</v>
      </c>
      <c r="E41" s="10" t="s">
        <v>16</v>
      </c>
      <c r="F41" s="10">
        <v>23</v>
      </c>
      <c r="G41" s="10">
        <v>499.99</v>
      </c>
      <c r="H41" s="10">
        <v>15</v>
      </c>
      <c r="I41" s="11">
        <v>9774.7999999999993</v>
      </c>
    </row>
    <row r="42" spans="1:9" ht="27.6" thickBot="1" x14ac:dyDescent="0.35">
      <c r="A42" s="4" t="s">
        <v>67</v>
      </c>
      <c r="B42" s="5">
        <v>45502</v>
      </c>
      <c r="C42" s="6" t="s">
        <v>10</v>
      </c>
      <c r="D42" s="6" t="s">
        <v>15</v>
      </c>
      <c r="E42" s="6" t="s">
        <v>16</v>
      </c>
      <c r="F42" s="6">
        <v>4</v>
      </c>
      <c r="G42" s="6">
        <v>29.99</v>
      </c>
      <c r="H42" s="6">
        <v>15</v>
      </c>
      <c r="I42" s="7">
        <v>101.97</v>
      </c>
    </row>
    <row r="43" spans="1:9" ht="15" thickBot="1" x14ac:dyDescent="0.35">
      <c r="A43" s="8" t="s">
        <v>68</v>
      </c>
      <c r="B43" s="9">
        <v>45465</v>
      </c>
      <c r="C43" s="10" t="s">
        <v>37</v>
      </c>
      <c r="D43" s="10" t="s">
        <v>18</v>
      </c>
      <c r="E43" s="10" t="s">
        <v>19</v>
      </c>
      <c r="F43" s="10">
        <v>13</v>
      </c>
      <c r="G43" s="10">
        <v>49.99</v>
      </c>
      <c r="H43" s="10">
        <v>20</v>
      </c>
      <c r="I43" s="11">
        <v>519.9</v>
      </c>
    </row>
    <row r="44" spans="1:9" ht="15" thickBot="1" x14ac:dyDescent="0.35">
      <c r="A44" s="4" t="s">
        <v>69</v>
      </c>
      <c r="B44" s="5">
        <v>45521</v>
      </c>
      <c r="C44" s="6" t="s">
        <v>22</v>
      </c>
      <c r="D44" s="6" t="s">
        <v>45</v>
      </c>
      <c r="E44" s="6" t="s">
        <v>19</v>
      </c>
      <c r="F44" s="6">
        <v>18</v>
      </c>
      <c r="G44" s="6">
        <v>349.99</v>
      </c>
      <c r="H44" s="6">
        <v>15</v>
      </c>
      <c r="I44" s="7">
        <v>5354.85</v>
      </c>
    </row>
    <row r="45" spans="1:9" ht="15" thickBot="1" x14ac:dyDescent="0.35">
      <c r="A45" s="8" t="s">
        <v>70</v>
      </c>
      <c r="B45" s="9">
        <v>45419</v>
      </c>
      <c r="C45" s="10" t="s">
        <v>22</v>
      </c>
      <c r="D45" s="10" t="s">
        <v>52</v>
      </c>
      <c r="E45" s="10" t="s">
        <v>19</v>
      </c>
      <c r="F45" s="10">
        <v>7</v>
      </c>
      <c r="G45" s="10">
        <v>199.99</v>
      </c>
      <c r="H45" s="10">
        <v>0</v>
      </c>
      <c r="I45" s="11">
        <v>1399.93</v>
      </c>
    </row>
    <row r="46" spans="1:9" ht="27.6" thickBot="1" x14ac:dyDescent="0.35">
      <c r="A46" s="4" t="s">
        <v>71</v>
      </c>
      <c r="B46" s="5">
        <v>45625</v>
      </c>
      <c r="C46" s="6" t="s">
        <v>10</v>
      </c>
      <c r="D46" s="6" t="s">
        <v>15</v>
      </c>
      <c r="E46" s="6" t="s">
        <v>16</v>
      </c>
      <c r="F46" s="6">
        <v>49</v>
      </c>
      <c r="G46" s="6">
        <v>29.99</v>
      </c>
      <c r="H46" s="6">
        <v>5</v>
      </c>
      <c r="I46" s="7">
        <v>1396.03</v>
      </c>
    </row>
    <row r="47" spans="1:9" ht="15" thickBot="1" x14ac:dyDescent="0.35">
      <c r="A47" s="8" t="s">
        <v>72</v>
      </c>
      <c r="B47" s="9">
        <v>45377</v>
      </c>
      <c r="C47" s="10" t="s">
        <v>22</v>
      </c>
      <c r="D47" s="10" t="s">
        <v>38</v>
      </c>
      <c r="E47" s="10" t="s">
        <v>16</v>
      </c>
      <c r="F47" s="10">
        <v>14</v>
      </c>
      <c r="G47" s="10">
        <v>89.99</v>
      </c>
      <c r="H47" s="10">
        <v>15</v>
      </c>
      <c r="I47" s="11">
        <v>1070.8800000000001</v>
      </c>
    </row>
    <row r="48" spans="1:9" ht="15" thickBot="1" x14ac:dyDescent="0.35">
      <c r="A48" s="4" t="s">
        <v>73</v>
      </c>
      <c r="B48" s="5">
        <v>45322</v>
      </c>
      <c r="C48" s="6" t="s">
        <v>22</v>
      </c>
      <c r="D48" s="6" t="s">
        <v>29</v>
      </c>
      <c r="E48" s="6" t="s">
        <v>16</v>
      </c>
      <c r="F48" s="6">
        <v>25</v>
      </c>
      <c r="G48" s="6">
        <v>1299.99</v>
      </c>
      <c r="H48" s="6">
        <v>10</v>
      </c>
      <c r="I48" s="7">
        <v>29249.78</v>
      </c>
    </row>
    <row r="49" spans="1:9" ht="15" thickBot="1" x14ac:dyDescent="0.35">
      <c r="A49" s="8" t="s">
        <v>74</v>
      </c>
      <c r="B49" s="9">
        <v>45524</v>
      </c>
      <c r="C49" s="10" t="s">
        <v>22</v>
      </c>
      <c r="D49" s="10" t="s">
        <v>52</v>
      </c>
      <c r="E49" s="10" t="s">
        <v>19</v>
      </c>
      <c r="F49" s="10">
        <v>43</v>
      </c>
      <c r="G49" s="10">
        <v>199.99</v>
      </c>
      <c r="H49" s="10">
        <v>15</v>
      </c>
      <c r="I49" s="11">
        <v>7309.63</v>
      </c>
    </row>
    <row r="50" spans="1:9" ht="15" thickBot="1" x14ac:dyDescent="0.35">
      <c r="A50" s="4" t="s">
        <v>75</v>
      </c>
      <c r="B50" s="5">
        <v>45371</v>
      </c>
      <c r="C50" s="6" t="s">
        <v>25</v>
      </c>
      <c r="D50" s="6" t="s">
        <v>18</v>
      </c>
      <c r="E50" s="6" t="s">
        <v>19</v>
      </c>
      <c r="F50" s="6">
        <v>4</v>
      </c>
      <c r="G50" s="6">
        <v>49.99</v>
      </c>
      <c r="H50" s="6">
        <v>20</v>
      </c>
      <c r="I50" s="7">
        <v>159.97</v>
      </c>
    </row>
    <row r="51" spans="1:9" ht="15" thickBot="1" x14ac:dyDescent="0.35">
      <c r="A51" s="13" t="s">
        <v>76</v>
      </c>
      <c r="B51" s="14">
        <v>45569</v>
      </c>
      <c r="C51" s="15" t="s">
        <v>25</v>
      </c>
      <c r="D51" s="15" t="s">
        <v>29</v>
      </c>
      <c r="E51" s="15" t="s">
        <v>16</v>
      </c>
      <c r="F51" s="15">
        <v>4</v>
      </c>
      <c r="G51" s="15">
        <v>1299.99</v>
      </c>
      <c r="H51" s="15">
        <v>20</v>
      </c>
      <c r="I51" s="16">
        <v>4159.97</v>
      </c>
    </row>
    <row r="52" spans="1:9" x14ac:dyDescent="0.3">
      <c r="A52" s="13"/>
      <c r="B52" s="14"/>
      <c r="C52" s="15"/>
      <c r="D52" s="15"/>
      <c r="E52" s="15"/>
      <c r="F52" s="15">
        <f>SUM(F2:F51)</f>
        <v>1307</v>
      </c>
      <c r="G52" s="15"/>
      <c r="H52" s="15"/>
      <c r="I52" s="16">
        <f>SUM(I2:I51)</f>
        <v>248886.22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E76E-F79A-4045-B9BC-A65BE6FFFFFA}">
  <dimension ref="A1:M51"/>
  <sheetViews>
    <sheetView workbookViewId="0">
      <selection activeCell="G2" sqref="G2"/>
    </sheetView>
  </sheetViews>
  <sheetFormatPr defaultRowHeight="14.4" x14ac:dyDescent="0.3"/>
  <cols>
    <col min="1" max="1" width="14.33203125" customWidth="1"/>
    <col min="2" max="2" width="10.109375" bestFit="1" customWidth="1"/>
    <col min="3" max="3" width="9.77734375" customWidth="1"/>
    <col min="4" max="4" width="19.5546875" customWidth="1"/>
    <col min="5" max="5" width="17.6640625" customWidth="1"/>
    <col min="6" max="6" width="12.77734375" customWidth="1"/>
    <col min="7" max="7" width="15.33203125" customWidth="1"/>
    <col min="8" max="8" width="15.21875" customWidth="1"/>
    <col min="9" max="9" width="20" customWidth="1"/>
    <col min="12" max="12" width="10.44140625" customWidth="1"/>
  </cols>
  <sheetData>
    <row r="1" spans="1:13" ht="42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8" t="s">
        <v>8</v>
      </c>
      <c r="K1" s="19" t="s">
        <v>80</v>
      </c>
      <c r="L1" s="19" t="s">
        <v>6</v>
      </c>
      <c r="M1" s="19" t="s">
        <v>8</v>
      </c>
    </row>
    <row r="2" spans="1:13" ht="15" thickBot="1" x14ac:dyDescent="0.35">
      <c r="A2" s="4" t="s">
        <v>9</v>
      </c>
      <c r="B2" s="5">
        <v>45619</v>
      </c>
      <c r="C2" s="6" t="s">
        <v>10</v>
      </c>
      <c r="D2" s="6" t="s">
        <v>11</v>
      </c>
      <c r="E2" s="6" t="s">
        <v>12</v>
      </c>
      <c r="F2" s="6">
        <v>16</v>
      </c>
      <c r="G2" s="6">
        <v>19.989999999999998</v>
      </c>
      <c r="H2" s="6">
        <v>5</v>
      </c>
      <c r="I2" s="7">
        <v>303.85000000000002</v>
      </c>
      <c r="K2">
        <f>AVERAGE(order_db[Units Sold])</f>
        <v>26.14</v>
      </c>
      <c r="L2">
        <f>AVERAGE(order_db[Unit Price ($)])</f>
        <v>206.98999999999987</v>
      </c>
      <c r="M2">
        <f>AVERAGE(order_db[Total Revenue ($)])</f>
        <v>4977.7244000000001</v>
      </c>
    </row>
    <row r="3" spans="1:13" ht="15" thickBot="1" x14ac:dyDescent="0.35">
      <c r="A3" s="8" t="s">
        <v>13</v>
      </c>
      <c r="B3" s="9">
        <v>45363</v>
      </c>
      <c r="C3" s="10" t="s">
        <v>14</v>
      </c>
      <c r="D3" s="10" t="s">
        <v>15</v>
      </c>
      <c r="E3" s="10" t="s">
        <v>16</v>
      </c>
      <c r="F3" s="10">
        <v>38</v>
      </c>
      <c r="G3" s="10">
        <v>29.99</v>
      </c>
      <c r="H3" s="10">
        <v>15</v>
      </c>
      <c r="I3" s="11">
        <v>968.68</v>
      </c>
      <c r="K3">
        <f>MEDIAN(order_db[Units Sold])</f>
        <v>24</v>
      </c>
      <c r="L3">
        <f>MEDIAN(order_db[Unit Price ($)])</f>
        <v>49.99</v>
      </c>
    </row>
    <row r="4" spans="1:13" ht="15" thickBot="1" x14ac:dyDescent="0.35">
      <c r="A4" s="4" t="s">
        <v>17</v>
      </c>
      <c r="B4" s="5">
        <v>45308</v>
      </c>
      <c r="C4" s="6" t="s">
        <v>10</v>
      </c>
      <c r="D4" s="6" t="s">
        <v>18</v>
      </c>
      <c r="E4" s="6" t="s">
        <v>19</v>
      </c>
      <c r="F4" s="6">
        <v>15</v>
      </c>
      <c r="G4" s="6">
        <v>49.99</v>
      </c>
      <c r="H4" s="6">
        <v>20</v>
      </c>
      <c r="I4" s="7">
        <v>599.88</v>
      </c>
      <c r="K4">
        <f>_xlfn.MODE.SNGL(order_db[Units Sold])</f>
        <v>15</v>
      </c>
      <c r="L4">
        <f>_xlfn.MODE.SNGL(order_db[Unit Price ($)])</f>
        <v>29.99</v>
      </c>
    </row>
    <row r="5" spans="1:13" ht="15" thickBot="1" x14ac:dyDescent="0.35">
      <c r="A5" s="8" t="s">
        <v>20</v>
      </c>
      <c r="B5" s="9">
        <v>45600</v>
      </c>
      <c r="C5" s="10" t="s">
        <v>14</v>
      </c>
      <c r="D5" s="10" t="s">
        <v>18</v>
      </c>
      <c r="E5" s="10" t="s">
        <v>19</v>
      </c>
      <c r="F5" s="10">
        <v>46</v>
      </c>
      <c r="G5" s="10">
        <v>49.99</v>
      </c>
      <c r="H5" s="10">
        <v>20</v>
      </c>
      <c r="I5" s="11">
        <v>1839.63</v>
      </c>
      <c r="K5">
        <f>_xlfn.MODE.MULT(order_db[Units Sold])</f>
        <v>15</v>
      </c>
      <c r="L5">
        <f>_xlfn.MODE.MULT(order_db[Unit Price ($)])</f>
        <v>29.99</v>
      </c>
    </row>
    <row r="6" spans="1:13" ht="15" thickBot="1" x14ac:dyDescent="0.35">
      <c r="A6" s="4" t="s">
        <v>21</v>
      </c>
      <c r="B6" s="5">
        <v>45506</v>
      </c>
      <c r="C6" s="6" t="s">
        <v>22</v>
      </c>
      <c r="D6" s="6" t="s">
        <v>23</v>
      </c>
      <c r="E6" s="6" t="s">
        <v>12</v>
      </c>
      <c r="F6" s="6">
        <v>18</v>
      </c>
      <c r="G6" s="6">
        <v>14.99</v>
      </c>
      <c r="H6" s="6">
        <v>0</v>
      </c>
      <c r="I6" s="7">
        <v>269.82</v>
      </c>
    </row>
    <row r="7" spans="1:13" ht="15" thickBot="1" x14ac:dyDescent="0.35">
      <c r="A7" s="8" t="s">
        <v>24</v>
      </c>
      <c r="B7" s="9">
        <v>45373</v>
      </c>
      <c r="C7" s="10" t="s">
        <v>25</v>
      </c>
      <c r="D7" s="10" t="s">
        <v>11</v>
      </c>
      <c r="E7" s="10" t="s">
        <v>12</v>
      </c>
      <c r="F7" s="10">
        <v>10</v>
      </c>
      <c r="G7" s="10">
        <v>19.989999999999998</v>
      </c>
      <c r="H7" s="10">
        <v>5</v>
      </c>
      <c r="I7" s="11">
        <v>189.91</v>
      </c>
    </row>
    <row r="8" spans="1:13" ht="15" thickBot="1" x14ac:dyDescent="0.35">
      <c r="A8" s="4" t="s">
        <v>26</v>
      </c>
      <c r="B8" s="5">
        <v>45464</v>
      </c>
      <c r="C8" s="6" t="s">
        <v>10</v>
      </c>
      <c r="D8" s="6" t="s">
        <v>27</v>
      </c>
      <c r="E8" s="6" t="s">
        <v>16</v>
      </c>
      <c r="F8" s="6">
        <v>7</v>
      </c>
      <c r="G8" s="6">
        <v>499.99</v>
      </c>
      <c r="H8" s="6">
        <v>10</v>
      </c>
      <c r="I8" s="7">
        <v>3149.94</v>
      </c>
    </row>
    <row r="9" spans="1:13" ht="15" thickBot="1" x14ac:dyDescent="0.35">
      <c r="A9" s="8" t="s">
        <v>28</v>
      </c>
      <c r="B9" s="9">
        <v>45468</v>
      </c>
      <c r="C9" s="10" t="s">
        <v>25</v>
      </c>
      <c r="D9" s="10" t="s">
        <v>29</v>
      </c>
      <c r="E9" s="10" t="s">
        <v>16</v>
      </c>
      <c r="F9" s="10">
        <v>47</v>
      </c>
      <c r="G9" s="10">
        <v>1299.99</v>
      </c>
      <c r="H9" s="10">
        <v>15</v>
      </c>
      <c r="I9" s="11">
        <v>51934.6</v>
      </c>
    </row>
    <row r="10" spans="1:13" ht="15" thickBot="1" x14ac:dyDescent="0.35">
      <c r="A10" s="4" t="s">
        <v>30</v>
      </c>
      <c r="B10" s="5">
        <v>45566</v>
      </c>
      <c r="C10" s="6" t="s">
        <v>22</v>
      </c>
      <c r="D10" s="6" t="s">
        <v>15</v>
      </c>
      <c r="E10" s="6" t="s">
        <v>16</v>
      </c>
      <c r="F10" s="12">
        <v>47</v>
      </c>
      <c r="G10" s="6">
        <v>29.99</v>
      </c>
      <c r="H10" s="6">
        <v>10</v>
      </c>
      <c r="I10" s="7">
        <v>1268.58</v>
      </c>
    </row>
    <row r="11" spans="1:13" ht="15" thickBot="1" x14ac:dyDescent="0.35">
      <c r="A11" s="8" t="s">
        <v>31</v>
      </c>
      <c r="B11" s="9">
        <v>45613</v>
      </c>
      <c r="C11" s="10" t="s">
        <v>25</v>
      </c>
      <c r="D11" s="10" t="s">
        <v>23</v>
      </c>
      <c r="E11" s="10" t="s">
        <v>12</v>
      </c>
      <c r="F11" s="10">
        <v>13</v>
      </c>
      <c r="G11" s="10">
        <v>14.99</v>
      </c>
      <c r="H11" s="10">
        <v>0</v>
      </c>
      <c r="I11" s="11">
        <v>194.87</v>
      </c>
    </row>
    <row r="12" spans="1:13" ht="15" thickBot="1" x14ac:dyDescent="0.35">
      <c r="A12" s="4" t="s">
        <v>32</v>
      </c>
      <c r="B12" s="5">
        <v>45315</v>
      </c>
      <c r="C12" s="6" t="s">
        <v>25</v>
      </c>
      <c r="D12" s="6" t="s">
        <v>15</v>
      </c>
      <c r="E12" s="6" t="s">
        <v>16</v>
      </c>
      <c r="F12" s="6">
        <v>15</v>
      </c>
      <c r="G12" s="6">
        <v>29.99</v>
      </c>
      <c r="H12" s="6">
        <v>0</v>
      </c>
      <c r="I12" s="7">
        <v>449.85</v>
      </c>
    </row>
    <row r="13" spans="1:13" ht="15" thickBot="1" x14ac:dyDescent="0.35">
      <c r="A13" s="8" t="s">
        <v>33</v>
      </c>
      <c r="B13" s="9">
        <v>45486</v>
      </c>
      <c r="C13" s="10" t="s">
        <v>22</v>
      </c>
      <c r="D13" s="10" t="s">
        <v>34</v>
      </c>
      <c r="E13" s="10" t="s">
        <v>12</v>
      </c>
      <c r="F13" s="6">
        <v>15</v>
      </c>
      <c r="G13" s="10">
        <v>9.99</v>
      </c>
      <c r="H13" s="10">
        <v>10</v>
      </c>
      <c r="I13" s="11">
        <v>134.87</v>
      </c>
    </row>
    <row r="14" spans="1:13" ht="15" thickBot="1" x14ac:dyDescent="0.35">
      <c r="A14" s="4" t="s">
        <v>35</v>
      </c>
      <c r="B14" s="5">
        <v>45473</v>
      </c>
      <c r="C14" s="6" t="s">
        <v>25</v>
      </c>
      <c r="D14" s="6" t="s">
        <v>15</v>
      </c>
      <c r="E14" s="6" t="s">
        <v>16</v>
      </c>
      <c r="F14" s="6">
        <v>39</v>
      </c>
      <c r="G14" s="6">
        <v>29.99</v>
      </c>
      <c r="H14" s="6">
        <v>5</v>
      </c>
      <c r="I14" s="7">
        <v>1111.1300000000001</v>
      </c>
    </row>
    <row r="15" spans="1:13" ht="15" thickBot="1" x14ac:dyDescent="0.35">
      <c r="A15" s="8" t="s">
        <v>36</v>
      </c>
      <c r="B15" s="9">
        <v>45565</v>
      </c>
      <c r="C15" s="10" t="s">
        <v>37</v>
      </c>
      <c r="D15" s="10" t="s">
        <v>38</v>
      </c>
      <c r="E15" s="10" t="s">
        <v>16</v>
      </c>
      <c r="F15" s="10">
        <v>25</v>
      </c>
      <c r="G15" s="10">
        <v>89.99</v>
      </c>
      <c r="H15" s="10">
        <v>10</v>
      </c>
      <c r="I15" s="11">
        <v>2024.78</v>
      </c>
    </row>
    <row r="16" spans="1:13" ht="15" thickBot="1" x14ac:dyDescent="0.35">
      <c r="A16" s="4" t="s">
        <v>39</v>
      </c>
      <c r="B16" s="5">
        <v>45619</v>
      </c>
      <c r="C16" s="6" t="s">
        <v>37</v>
      </c>
      <c r="D16" s="6" t="s">
        <v>34</v>
      </c>
      <c r="E16" s="6" t="s">
        <v>12</v>
      </c>
      <c r="F16" s="6">
        <v>50</v>
      </c>
      <c r="G16" s="6">
        <v>9.99</v>
      </c>
      <c r="H16" s="6">
        <v>0</v>
      </c>
      <c r="I16" s="7">
        <v>499.5</v>
      </c>
    </row>
    <row r="17" spans="1:9" ht="15" thickBot="1" x14ac:dyDescent="0.35">
      <c r="A17" s="8" t="s">
        <v>40</v>
      </c>
      <c r="B17" s="9">
        <v>45409</v>
      </c>
      <c r="C17" s="10" t="s">
        <v>25</v>
      </c>
      <c r="D17" s="10" t="s">
        <v>27</v>
      </c>
      <c r="E17" s="10" t="s">
        <v>16</v>
      </c>
      <c r="F17" s="10">
        <v>18</v>
      </c>
      <c r="G17" s="10">
        <v>499.99</v>
      </c>
      <c r="H17" s="10">
        <v>0</v>
      </c>
      <c r="I17" s="11">
        <v>8999.82</v>
      </c>
    </row>
    <row r="18" spans="1:9" ht="15" thickBot="1" x14ac:dyDescent="0.35">
      <c r="A18" s="4" t="s">
        <v>41</v>
      </c>
      <c r="B18" s="5">
        <v>45400</v>
      </c>
      <c r="C18" s="6" t="s">
        <v>25</v>
      </c>
      <c r="D18" s="6" t="s">
        <v>18</v>
      </c>
      <c r="E18" s="6" t="s">
        <v>19</v>
      </c>
      <c r="F18" s="6">
        <v>42</v>
      </c>
      <c r="G18" s="6">
        <v>49.99</v>
      </c>
      <c r="H18" s="6">
        <v>15</v>
      </c>
      <c r="I18" s="7">
        <v>1784.64</v>
      </c>
    </row>
    <row r="19" spans="1:9" ht="15" thickBot="1" x14ac:dyDescent="0.35">
      <c r="A19" s="8" t="s">
        <v>42</v>
      </c>
      <c r="B19" s="9">
        <v>45494</v>
      </c>
      <c r="C19" s="10" t="s">
        <v>37</v>
      </c>
      <c r="D19" s="10" t="s">
        <v>11</v>
      </c>
      <c r="E19" s="10" t="s">
        <v>12</v>
      </c>
      <c r="F19" s="10">
        <v>20</v>
      </c>
      <c r="G19" s="10">
        <v>19.989999999999998</v>
      </c>
      <c r="H19" s="10">
        <v>5</v>
      </c>
      <c r="I19" s="11">
        <v>379.81</v>
      </c>
    </row>
    <row r="20" spans="1:9" ht="15" thickBot="1" x14ac:dyDescent="0.35">
      <c r="A20" s="4" t="s">
        <v>43</v>
      </c>
      <c r="B20" s="5">
        <v>45579</v>
      </c>
      <c r="C20" s="6" t="s">
        <v>25</v>
      </c>
      <c r="D20" s="6" t="s">
        <v>23</v>
      </c>
      <c r="E20" s="6" t="s">
        <v>12</v>
      </c>
      <c r="F20" s="6">
        <v>28</v>
      </c>
      <c r="G20" s="6">
        <v>14.99</v>
      </c>
      <c r="H20" s="6">
        <v>20</v>
      </c>
      <c r="I20" s="7">
        <v>335.78</v>
      </c>
    </row>
    <row r="21" spans="1:9" ht="15" thickBot="1" x14ac:dyDescent="0.35">
      <c r="A21" s="8" t="s">
        <v>44</v>
      </c>
      <c r="B21" s="9">
        <v>45496</v>
      </c>
      <c r="C21" s="10" t="s">
        <v>37</v>
      </c>
      <c r="D21" s="10" t="s">
        <v>45</v>
      </c>
      <c r="E21" s="10" t="s">
        <v>19</v>
      </c>
      <c r="F21" s="10">
        <v>33</v>
      </c>
      <c r="G21" s="10">
        <v>349.99</v>
      </c>
      <c r="H21" s="10">
        <v>15</v>
      </c>
      <c r="I21" s="11">
        <v>9817.2199999999993</v>
      </c>
    </row>
    <row r="22" spans="1:9" ht="15" thickBot="1" x14ac:dyDescent="0.35">
      <c r="A22" s="4" t="s">
        <v>46</v>
      </c>
      <c r="B22" s="5">
        <v>45338</v>
      </c>
      <c r="C22" s="6" t="s">
        <v>10</v>
      </c>
      <c r="D22" s="6" t="s">
        <v>45</v>
      </c>
      <c r="E22" s="6" t="s">
        <v>19</v>
      </c>
      <c r="F22" s="6">
        <v>41</v>
      </c>
      <c r="G22" s="6">
        <v>349.99</v>
      </c>
      <c r="H22" s="6">
        <v>5</v>
      </c>
      <c r="I22" s="7">
        <v>13632.11</v>
      </c>
    </row>
    <row r="23" spans="1:9" ht="15" thickBot="1" x14ac:dyDescent="0.35">
      <c r="A23" s="8" t="s">
        <v>47</v>
      </c>
      <c r="B23" s="9">
        <v>45640</v>
      </c>
      <c r="C23" s="10" t="s">
        <v>14</v>
      </c>
      <c r="D23" s="10" t="s">
        <v>15</v>
      </c>
      <c r="E23" s="10" t="s">
        <v>16</v>
      </c>
      <c r="F23" s="10">
        <v>25</v>
      </c>
      <c r="G23" s="10">
        <v>29.99</v>
      </c>
      <c r="H23" s="10">
        <v>15</v>
      </c>
      <c r="I23" s="11">
        <v>637.29</v>
      </c>
    </row>
    <row r="24" spans="1:9" ht="15" thickBot="1" x14ac:dyDescent="0.35">
      <c r="A24" s="4" t="s">
        <v>48</v>
      </c>
      <c r="B24" s="5">
        <v>45597</v>
      </c>
      <c r="C24" s="6" t="s">
        <v>14</v>
      </c>
      <c r="D24" s="6" t="s">
        <v>11</v>
      </c>
      <c r="E24" s="6" t="s">
        <v>12</v>
      </c>
      <c r="F24" s="6">
        <v>36</v>
      </c>
      <c r="G24" s="6">
        <v>19.989999999999998</v>
      </c>
      <c r="H24" s="6">
        <v>0</v>
      </c>
      <c r="I24" s="7">
        <v>719.64</v>
      </c>
    </row>
    <row r="25" spans="1:9" ht="15" thickBot="1" x14ac:dyDescent="0.35">
      <c r="A25" s="8" t="s">
        <v>49</v>
      </c>
      <c r="B25" s="9">
        <v>45640</v>
      </c>
      <c r="C25" s="10" t="s">
        <v>14</v>
      </c>
      <c r="D25" s="10" t="s">
        <v>11</v>
      </c>
      <c r="E25" s="10" t="s">
        <v>12</v>
      </c>
      <c r="F25" s="10">
        <v>50</v>
      </c>
      <c r="G25" s="10">
        <v>19.989999999999998</v>
      </c>
      <c r="H25" s="10">
        <v>10</v>
      </c>
      <c r="I25" s="11">
        <v>899.55</v>
      </c>
    </row>
    <row r="26" spans="1:9" ht="15" thickBot="1" x14ac:dyDescent="0.35">
      <c r="A26" s="4" t="s">
        <v>50</v>
      </c>
      <c r="B26" s="5">
        <v>45349</v>
      </c>
      <c r="C26" s="6" t="s">
        <v>22</v>
      </c>
      <c r="D26" s="6" t="s">
        <v>45</v>
      </c>
      <c r="E26" s="6" t="s">
        <v>19</v>
      </c>
      <c r="F26" s="6">
        <v>30</v>
      </c>
      <c r="G26" s="6">
        <v>349.99</v>
      </c>
      <c r="H26" s="6">
        <v>0</v>
      </c>
      <c r="I26" s="7">
        <v>10499.7</v>
      </c>
    </row>
    <row r="27" spans="1:9" ht="15" thickBot="1" x14ac:dyDescent="0.35">
      <c r="A27" s="8" t="s">
        <v>51</v>
      </c>
      <c r="B27" s="9">
        <v>45426</v>
      </c>
      <c r="C27" s="10" t="s">
        <v>37</v>
      </c>
      <c r="D27" s="10" t="s">
        <v>52</v>
      </c>
      <c r="E27" s="10" t="s">
        <v>19</v>
      </c>
      <c r="F27" s="10">
        <v>22</v>
      </c>
      <c r="G27" s="10">
        <v>199.99</v>
      </c>
      <c r="H27" s="10">
        <v>10</v>
      </c>
      <c r="I27" s="11">
        <v>3959.8</v>
      </c>
    </row>
    <row r="28" spans="1:9" ht="15" thickBot="1" x14ac:dyDescent="0.35">
      <c r="A28" s="4" t="s">
        <v>53</v>
      </c>
      <c r="B28" s="5">
        <v>45619</v>
      </c>
      <c r="C28" s="6" t="s">
        <v>14</v>
      </c>
      <c r="D28" s="6" t="s">
        <v>18</v>
      </c>
      <c r="E28" s="6" t="s">
        <v>19</v>
      </c>
      <c r="F28" s="6">
        <v>10</v>
      </c>
      <c r="G28" s="6">
        <v>49.99</v>
      </c>
      <c r="H28" s="6">
        <v>10</v>
      </c>
      <c r="I28" s="7">
        <v>449.91</v>
      </c>
    </row>
    <row r="29" spans="1:9" ht="15" thickBot="1" x14ac:dyDescent="0.35">
      <c r="A29" s="8" t="s">
        <v>54</v>
      </c>
      <c r="B29" s="9">
        <v>45374</v>
      </c>
      <c r="C29" s="10" t="s">
        <v>14</v>
      </c>
      <c r="D29" s="10" t="s">
        <v>29</v>
      </c>
      <c r="E29" s="10" t="s">
        <v>16</v>
      </c>
      <c r="F29" s="10">
        <v>39</v>
      </c>
      <c r="G29" s="10">
        <v>1299.99</v>
      </c>
      <c r="H29" s="10">
        <v>10</v>
      </c>
      <c r="I29" s="11">
        <v>45629.65</v>
      </c>
    </row>
    <row r="30" spans="1:9" ht="15" thickBot="1" x14ac:dyDescent="0.35">
      <c r="A30" s="4" t="s">
        <v>55</v>
      </c>
      <c r="B30" s="5">
        <v>45542</v>
      </c>
      <c r="C30" s="6" t="s">
        <v>10</v>
      </c>
      <c r="D30" s="6" t="s">
        <v>34</v>
      </c>
      <c r="E30" s="6" t="s">
        <v>12</v>
      </c>
      <c r="F30" s="6">
        <v>20</v>
      </c>
      <c r="G30" s="6">
        <v>9.99</v>
      </c>
      <c r="H30" s="6">
        <v>5</v>
      </c>
      <c r="I30" s="7">
        <v>189.81</v>
      </c>
    </row>
    <row r="31" spans="1:9" ht="15" thickBot="1" x14ac:dyDescent="0.35">
      <c r="A31" s="8" t="s">
        <v>56</v>
      </c>
      <c r="B31" s="9">
        <v>45321</v>
      </c>
      <c r="C31" s="10" t="s">
        <v>14</v>
      </c>
      <c r="D31" s="10" t="s">
        <v>15</v>
      </c>
      <c r="E31" s="10" t="s">
        <v>16</v>
      </c>
      <c r="F31" s="10">
        <v>34</v>
      </c>
      <c r="G31" s="10">
        <v>29.99</v>
      </c>
      <c r="H31" s="10">
        <v>15</v>
      </c>
      <c r="I31" s="11">
        <v>866.71</v>
      </c>
    </row>
    <row r="32" spans="1:9" ht="15" thickBot="1" x14ac:dyDescent="0.35">
      <c r="A32" s="4" t="s">
        <v>57</v>
      </c>
      <c r="B32" s="5">
        <v>45327</v>
      </c>
      <c r="C32" s="6" t="s">
        <v>37</v>
      </c>
      <c r="D32" s="6" t="s">
        <v>45</v>
      </c>
      <c r="E32" s="6" t="s">
        <v>19</v>
      </c>
      <c r="F32" s="6">
        <v>43</v>
      </c>
      <c r="G32" s="6">
        <v>349.99</v>
      </c>
      <c r="H32" s="6">
        <v>15</v>
      </c>
      <c r="I32" s="7">
        <v>12792.13</v>
      </c>
    </row>
    <row r="33" spans="1:9" ht="15" thickBot="1" x14ac:dyDescent="0.35">
      <c r="A33" s="8" t="s">
        <v>58</v>
      </c>
      <c r="B33" s="9">
        <v>45573</v>
      </c>
      <c r="C33" s="10" t="s">
        <v>25</v>
      </c>
      <c r="D33" s="10" t="s">
        <v>52</v>
      </c>
      <c r="E33" s="10" t="s">
        <v>19</v>
      </c>
      <c r="F33" s="10">
        <v>39</v>
      </c>
      <c r="G33" s="10">
        <v>199.99</v>
      </c>
      <c r="H33" s="10">
        <v>15</v>
      </c>
      <c r="I33" s="11">
        <v>6629.67</v>
      </c>
    </row>
    <row r="34" spans="1:9" ht="15" thickBot="1" x14ac:dyDescent="0.35">
      <c r="A34" s="4" t="s">
        <v>59</v>
      </c>
      <c r="B34" s="5">
        <v>45400</v>
      </c>
      <c r="C34" s="6" t="s">
        <v>37</v>
      </c>
      <c r="D34" s="6" t="s">
        <v>11</v>
      </c>
      <c r="E34" s="6" t="s">
        <v>12</v>
      </c>
      <c r="F34" s="6">
        <v>11</v>
      </c>
      <c r="G34" s="6">
        <v>19.989999999999998</v>
      </c>
      <c r="H34" s="6">
        <v>10</v>
      </c>
      <c r="I34" s="7">
        <v>197.9</v>
      </c>
    </row>
    <row r="35" spans="1:9" ht="15" thickBot="1" x14ac:dyDescent="0.35">
      <c r="A35" s="8" t="s">
        <v>60</v>
      </c>
      <c r="B35" s="9">
        <v>45516</v>
      </c>
      <c r="C35" s="10" t="s">
        <v>22</v>
      </c>
      <c r="D35" s="10" t="s">
        <v>15</v>
      </c>
      <c r="E35" s="10" t="s">
        <v>16</v>
      </c>
      <c r="F35" s="10">
        <v>16</v>
      </c>
      <c r="G35" s="10">
        <v>29.99</v>
      </c>
      <c r="H35" s="10">
        <v>5</v>
      </c>
      <c r="I35" s="11">
        <v>455.85</v>
      </c>
    </row>
    <row r="36" spans="1:9" ht="15" thickBot="1" x14ac:dyDescent="0.35">
      <c r="A36" s="4" t="s">
        <v>61</v>
      </c>
      <c r="B36" s="5">
        <v>45324</v>
      </c>
      <c r="C36" s="6" t="s">
        <v>10</v>
      </c>
      <c r="D36" s="6" t="s">
        <v>23</v>
      </c>
      <c r="E36" s="6" t="s">
        <v>12</v>
      </c>
      <c r="F36" s="6">
        <v>36</v>
      </c>
      <c r="G36" s="6">
        <v>14.99</v>
      </c>
      <c r="H36" s="6">
        <v>5</v>
      </c>
      <c r="I36" s="7">
        <v>512.66</v>
      </c>
    </row>
    <row r="37" spans="1:9" ht="15" thickBot="1" x14ac:dyDescent="0.35">
      <c r="A37" s="8" t="s">
        <v>62</v>
      </c>
      <c r="B37" s="9">
        <v>45593</v>
      </c>
      <c r="C37" s="10" t="s">
        <v>10</v>
      </c>
      <c r="D37" s="10" t="s">
        <v>15</v>
      </c>
      <c r="E37" s="10" t="s">
        <v>16</v>
      </c>
      <c r="F37" s="10">
        <v>46</v>
      </c>
      <c r="G37" s="10">
        <v>29.99</v>
      </c>
      <c r="H37" s="10">
        <v>0</v>
      </c>
      <c r="I37" s="11">
        <v>1379.54</v>
      </c>
    </row>
    <row r="38" spans="1:9" ht="15" thickBot="1" x14ac:dyDescent="0.35">
      <c r="A38" s="4" t="s">
        <v>63</v>
      </c>
      <c r="B38" s="5">
        <v>45409</v>
      </c>
      <c r="C38" s="6" t="s">
        <v>10</v>
      </c>
      <c r="D38" s="6" t="s">
        <v>34</v>
      </c>
      <c r="E38" s="6" t="s">
        <v>12</v>
      </c>
      <c r="F38" s="6">
        <v>5</v>
      </c>
      <c r="G38" s="6">
        <v>9.99</v>
      </c>
      <c r="H38" s="6">
        <v>20</v>
      </c>
      <c r="I38" s="7">
        <v>39.96</v>
      </c>
    </row>
    <row r="39" spans="1:9" ht="15" thickBot="1" x14ac:dyDescent="0.35">
      <c r="A39" s="8" t="s">
        <v>64</v>
      </c>
      <c r="B39" s="9">
        <v>45413</v>
      </c>
      <c r="C39" s="10" t="s">
        <v>22</v>
      </c>
      <c r="D39" s="10" t="s">
        <v>18</v>
      </c>
      <c r="E39" s="10" t="s">
        <v>19</v>
      </c>
      <c r="F39" s="10">
        <v>35</v>
      </c>
      <c r="G39" s="10">
        <v>49.99</v>
      </c>
      <c r="H39" s="10">
        <v>5</v>
      </c>
      <c r="I39" s="11">
        <v>1662.17</v>
      </c>
    </row>
    <row r="40" spans="1:9" ht="15" thickBot="1" x14ac:dyDescent="0.35">
      <c r="A40" s="4" t="s">
        <v>65</v>
      </c>
      <c r="B40" s="5">
        <v>45584</v>
      </c>
      <c r="C40" s="6" t="s">
        <v>22</v>
      </c>
      <c r="D40" s="6" t="s">
        <v>18</v>
      </c>
      <c r="E40" s="6" t="s">
        <v>19</v>
      </c>
      <c r="F40" s="6">
        <v>23</v>
      </c>
      <c r="G40" s="6">
        <v>49.99</v>
      </c>
      <c r="H40" s="6">
        <v>15</v>
      </c>
      <c r="I40" s="7">
        <v>977.3</v>
      </c>
    </row>
    <row r="41" spans="1:9" ht="15" thickBot="1" x14ac:dyDescent="0.35">
      <c r="A41" s="8" t="s">
        <v>66</v>
      </c>
      <c r="B41" s="9">
        <v>45389</v>
      </c>
      <c r="C41" s="10" t="s">
        <v>10</v>
      </c>
      <c r="D41" s="10" t="s">
        <v>27</v>
      </c>
      <c r="E41" s="10" t="s">
        <v>16</v>
      </c>
      <c r="F41" s="10">
        <v>23</v>
      </c>
      <c r="G41" s="10">
        <v>499.99</v>
      </c>
      <c r="H41" s="10">
        <v>15</v>
      </c>
      <c r="I41" s="11">
        <v>9774.7999999999993</v>
      </c>
    </row>
    <row r="42" spans="1:9" ht="15" thickBot="1" x14ac:dyDescent="0.35">
      <c r="A42" s="4" t="s">
        <v>67</v>
      </c>
      <c r="B42" s="5">
        <v>45502</v>
      </c>
      <c r="C42" s="6" t="s">
        <v>10</v>
      </c>
      <c r="D42" s="6" t="s">
        <v>15</v>
      </c>
      <c r="E42" s="6" t="s">
        <v>16</v>
      </c>
      <c r="F42" s="6">
        <v>4</v>
      </c>
      <c r="G42" s="6">
        <v>29.99</v>
      </c>
      <c r="H42" s="6">
        <v>15</v>
      </c>
      <c r="I42" s="7">
        <v>101.97</v>
      </c>
    </row>
    <row r="43" spans="1:9" ht="15" thickBot="1" x14ac:dyDescent="0.35">
      <c r="A43" s="8" t="s">
        <v>68</v>
      </c>
      <c r="B43" s="9">
        <v>45465</v>
      </c>
      <c r="C43" s="10" t="s">
        <v>37</v>
      </c>
      <c r="D43" s="10" t="s">
        <v>18</v>
      </c>
      <c r="E43" s="10" t="s">
        <v>19</v>
      </c>
      <c r="F43" s="10">
        <v>13</v>
      </c>
      <c r="G43" s="10">
        <v>49.99</v>
      </c>
      <c r="H43" s="10">
        <v>20</v>
      </c>
      <c r="I43" s="11">
        <v>519.9</v>
      </c>
    </row>
    <row r="44" spans="1:9" ht="15" thickBot="1" x14ac:dyDescent="0.35">
      <c r="A44" s="4" t="s">
        <v>69</v>
      </c>
      <c r="B44" s="5">
        <v>45521</v>
      </c>
      <c r="C44" s="6" t="s">
        <v>22</v>
      </c>
      <c r="D44" s="6" t="s">
        <v>45</v>
      </c>
      <c r="E44" s="6" t="s">
        <v>19</v>
      </c>
      <c r="F44" s="6">
        <v>18</v>
      </c>
      <c r="G44" s="6">
        <v>349.99</v>
      </c>
      <c r="H44" s="6">
        <v>15</v>
      </c>
      <c r="I44" s="7">
        <v>5354.85</v>
      </c>
    </row>
    <row r="45" spans="1:9" ht="15" thickBot="1" x14ac:dyDescent="0.35">
      <c r="A45" s="8" t="s">
        <v>70</v>
      </c>
      <c r="B45" s="9">
        <v>45419</v>
      </c>
      <c r="C45" s="10" t="s">
        <v>22</v>
      </c>
      <c r="D45" s="10" t="s">
        <v>52</v>
      </c>
      <c r="E45" s="10" t="s">
        <v>19</v>
      </c>
      <c r="F45" s="10">
        <v>7</v>
      </c>
      <c r="G45" s="10">
        <v>199.99</v>
      </c>
      <c r="H45" s="10">
        <v>0</v>
      </c>
      <c r="I45" s="11">
        <v>1399.93</v>
      </c>
    </row>
    <row r="46" spans="1:9" ht="15" thickBot="1" x14ac:dyDescent="0.35">
      <c r="A46" s="4" t="s">
        <v>71</v>
      </c>
      <c r="B46" s="5">
        <v>45625</v>
      </c>
      <c r="C46" s="6" t="s">
        <v>10</v>
      </c>
      <c r="D46" s="6" t="s">
        <v>15</v>
      </c>
      <c r="E46" s="6" t="s">
        <v>16</v>
      </c>
      <c r="F46" s="6">
        <v>49</v>
      </c>
      <c r="G46" s="6">
        <v>29.99</v>
      </c>
      <c r="H46" s="6">
        <v>5</v>
      </c>
      <c r="I46" s="7">
        <v>1396.03</v>
      </c>
    </row>
    <row r="47" spans="1:9" ht="15" thickBot="1" x14ac:dyDescent="0.35">
      <c r="A47" s="8" t="s">
        <v>72</v>
      </c>
      <c r="B47" s="9">
        <v>45377</v>
      </c>
      <c r="C47" s="10" t="s">
        <v>22</v>
      </c>
      <c r="D47" s="10" t="s">
        <v>38</v>
      </c>
      <c r="E47" s="10" t="s">
        <v>16</v>
      </c>
      <c r="F47" s="10">
        <v>14</v>
      </c>
      <c r="G47" s="10">
        <v>89.99</v>
      </c>
      <c r="H47" s="10">
        <v>15</v>
      </c>
      <c r="I47" s="11">
        <v>1070.8800000000001</v>
      </c>
    </row>
    <row r="48" spans="1:9" ht="15" thickBot="1" x14ac:dyDescent="0.35">
      <c r="A48" s="4" t="s">
        <v>73</v>
      </c>
      <c r="B48" s="5">
        <v>45322</v>
      </c>
      <c r="C48" s="6" t="s">
        <v>22</v>
      </c>
      <c r="D48" s="6" t="s">
        <v>29</v>
      </c>
      <c r="E48" s="6" t="s">
        <v>16</v>
      </c>
      <c r="F48" s="6">
        <v>25</v>
      </c>
      <c r="G48" s="6">
        <v>1299.99</v>
      </c>
      <c r="H48" s="6">
        <v>10</v>
      </c>
      <c r="I48" s="7">
        <v>29249.78</v>
      </c>
    </row>
    <row r="49" spans="1:9" ht="15" thickBot="1" x14ac:dyDescent="0.35">
      <c r="A49" s="8" t="s">
        <v>74</v>
      </c>
      <c r="B49" s="9">
        <v>45524</v>
      </c>
      <c r="C49" s="10" t="s">
        <v>22</v>
      </c>
      <c r="D49" s="10" t="s">
        <v>52</v>
      </c>
      <c r="E49" s="10" t="s">
        <v>19</v>
      </c>
      <c r="F49" s="10">
        <v>43</v>
      </c>
      <c r="G49" s="10">
        <v>199.99</v>
      </c>
      <c r="H49" s="10">
        <v>15</v>
      </c>
      <c r="I49" s="11">
        <v>7309.63</v>
      </c>
    </row>
    <row r="50" spans="1:9" ht="15" thickBot="1" x14ac:dyDescent="0.35">
      <c r="A50" s="4" t="s">
        <v>75</v>
      </c>
      <c r="B50" s="5">
        <v>45371</v>
      </c>
      <c r="C50" s="6" t="s">
        <v>25</v>
      </c>
      <c r="D50" s="6" t="s">
        <v>18</v>
      </c>
      <c r="E50" s="6" t="s">
        <v>19</v>
      </c>
      <c r="F50" s="6">
        <v>4</v>
      </c>
      <c r="G50" s="6">
        <v>49.99</v>
      </c>
      <c r="H50" s="6">
        <v>20</v>
      </c>
      <c r="I50" s="7">
        <v>159.97</v>
      </c>
    </row>
    <row r="51" spans="1:9" x14ac:dyDescent="0.3">
      <c r="A51" s="13" t="s">
        <v>76</v>
      </c>
      <c r="B51" s="14">
        <v>45569</v>
      </c>
      <c r="C51" s="15" t="s">
        <v>25</v>
      </c>
      <c r="D51" s="15" t="s">
        <v>29</v>
      </c>
      <c r="E51" s="15" t="s">
        <v>16</v>
      </c>
      <c r="F51" s="15">
        <v>4</v>
      </c>
      <c r="G51" s="15">
        <v>1299.99</v>
      </c>
      <c r="H51" s="15">
        <v>20</v>
      </c>
      <c r="I51" s="16">
        <v>4159.97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14B9-734C-424C-AF58-15C71C00F31A}">
  <dimension ref="A1:M201"/>
  <sheetViews>
    <sheetView tabSelected="1" workbookViewId="0">
      <selection activeCell="L1" sqref="L1"/>
    </sheetView>
  </sheetViews>
  <sheetFormatPr defaultColWidth="11.88671875" defaultRowHeight="14.4" x14ac:dyDescent="0.3"/>
  <cols>
    <col min="2" max="2" width="19.5546875" customWidth="1"/>
    <col min="3" max="3" width="14.33203125" customWidth="1"/>
    <col min="6" max="6" width="13.33203125" customWidth="1"/>
    <col min="7" max="7" width="12.88671875" customWidth="1"/>
    <col min="8" max="8" width="14.109375" customWidth="1"/>
    <col min="10" max="10" width="20.6640625" customWidth="1"/>
  </cols>
  <sheetData>
    <row r="1" spans="1:13" ht="15" thickBot="1" x14ac:dyDescent="0.35">
      <c r="A1" s="26" t="s">
        <v>81</v>
      </c>
      <c r="B1" s="27" t="s">
        <v>82</v>
      </c>
      <c r="C1" s="27" t="s">
        <v>83</v>
      </c>
      <c r="D1" s="27" t="s">
        <v>2</v>
      </c>
      <c r="E1" s="27" t="s">
        <v>84</v>
      </c>
      <c r="F1" s="27" t="s">
        <v>85</v>
      </c>
      <c r="G1" s="27" t="s">
        <v>86</v>
      </c>
      <c r="H1" s="27" t="s">
        <v>87</v>
      </c>
      <c r="I1" s="27" t="s">
        <v>88</v>
      </c>
      <c r="J1" s="28" t="s">
        <v>89</v>
      </c>
      <c r="L1" s="35" t="s">
        <v>320</v>
      </c>
      <c r="M1" s="39">
        <f>SUM(Emp_db[Total_Sales])</f>
        <v>5161952.3599999994</v>
      </c>
    </row>
    <row r="2" spans="1:13" ht="28.2" thickBot="1" x14ac:dyDescent="0.35">
      <c r="A2" s="25" t="s">
        <v>90</v>
      </c>
      <c r="B2" s="20" t="s">
        <v>91</v>
      </c>
      <c r="C2" s="20" t="s">
        <v>16</v>
      </c>
      <c r="D2" s="20" t="s">
        <v>10</v>
      </c>
      <c r="E2" s="20" t="s">
        <v>92</v>
      </c>
      <c r="F2" s="20">
        <v>75</v>
      </c>
      <c r="G2" s="20">
        <v>130</v>
      </c>
      <c r="H2" s="20">
        <v>9750</v>
      </c>
      <c r="I2" s="20">
        <v>10144</v>
      </c>
      <c r="J2" s="21">
        <v>0.05</v>
      </c>
      <c r="L2" s="38" t="s">
        <v>321</v>
      </c>
      <c r="M2" s="39">
        <f>MIN(Emp_db[Units_Sold])</f>
        <v>7</v>
      </c>
    </row>
    <row r="3" spans="1:13" ht="42" thickBot="1" x14ac:dyDescent="0.35">
      <c r="A3" s="25" t="s">
        <v>93</v>
      </c>
      <c r="B3" s="22" t="s">
        <v>91</v>
      </c>
      <c r="C3" s="22" t="s">
        <v>94</v>
      </c>
      <c r="D3" s="22" t="s">
        <v>10</v>
      </c>
      <c r="E3" s="22" t="s">
        <v>95</v>
      </c>
      <c r="F3" s="22">
        <v>113</v>
      </c>
      <c r="G3" s="22">
        <v>25.57</v>
      </c>
      <c r="H3" s="22">
        <v>2889.41</v>
      </c>
      <c r="I3" s="22">
        <v>7140</v>
      </c>
      <c r="J3" s="23">
        <v>7.0000000000000007E-2</v>
      </c>
      <c r="L3" s="38" t="s">
        <v>322</v>
      </c>
      <c r="M3" s="40">
        <f>MAX(Emp_db[Total_Sales])</f>
        <v>86485.8</v>
      </c>
    </row>
    <row r="4" spans="1:13" ht="42" thickBot="1" x14ac:dyDescent="0.35">
      <c r="A4" s="25" t="s">
        <v>96</v>
      </c>
      <c r="B4" s="20" t="s">
        <v>97</v>
      </c>
      <c r="C4" s="20" t="s">
        <v>94</v>
      </c>
      <c r="D4" s="20" t="s">
        <v>14</v>
      </c>
      <c r="E4" s="20" t="s">
        <v>98</v>
      </c>
      <c r="F4" s="20">
        <v>148</v>
      </c>
      <c r="G4" s="20">
        <v>107.43</v>
      </c>
      <c r="H4" s="20">
        <v>15899.64</v>
      </c>
      <c r="I4" s="20">
        <v>43590</v>
      </c>
      <c r="J4" s="23">
        <v>0.12</v>
      </c>
      <c r="K4" s="34"/>
      <c r="L4" s="35" t="s">
        <v>323</v>
      </c>
      <c r="M4" s="41">
        <f>COUNT(Emp_db[Unit_Price])</f>
        <v>200</v>
      </c>
    </row>
    <row r="5" spans="1:13" ht="55.8" thickBot="1" x14ac:dyDescent="0.35">
      <c r="A5" s="25" t="s">
        <v>99</v>
      </c>
      <c r="B5" s="22" t="s">
        <v>100</v>
      </c>
      <c r="C5" s="22" t="s">
        <v>101</v>
      </c>
      <c r="D5" s="22" t="s">
        <v>22</v>
      </c>
      <c r="E5" s="22" t="s">
        <v>95</v>
      </c>
      <c r="F5" s="22">
        <v>76</v>
      </c>
      <c r="G5" s="22">
        <v>406.62</v>
      </c>
      <c r="H5" s="22">
        <v>30903.119999999999</v>
      </c>
      <c r="I5" s="20">
        <v>1425</v>
      </c>
      <c r="J5" s="23">
        <v>7.0000000000000007E-2</v>
      </c>
      <c r="K5" s="43"/>
      <c r="L5" s="37" t="s">
        <v>324</v>
      </c>
      <c r="M5" s="41">
        <f>COUNT(Emp_db[Commission_Rate])</f>
        <v>200</v>
      </c>
    </row>
    <row r="6" spans="1:13" ht="42" thickBot="1" x14ac:dyDescent="0.35">
      <c r="A6" s="25" t="s">
        <v>102</v>
      </c>
      <c r="B6" s="20" t="s">
        <v>103</v>
      </c>
      <c r="C6" s="20" t="s">
        <v>104</v>
      </c>
      <c r="D6" s="20" t="s">
        <v>25</v>
      </c>
      <c r="E6" s="20" t="s">
        <v>105</v>
      </c>
      <c r="F6" s="20">
        <v>44</v>
      </c>
      <c r="G6" s="20">
        <v>115.5</v>
      </c>
      <c r="H6" s="20">
        <v>5082</v>
      </c>
      <c r="I6" s="20">
        <v>23059</v>
      </c>
      <c r="J6" s="23">
        <v>0.05</v>
      </c>
      <c r="K6" s="44"/>
      <c r="L6" s="37" t="s">
        <v>325</v>
      </c>
      <c r="M6" s="39">
        <f>AVERAGE(Emp_db[Unit_Price])</f>
        <v>251.30414999999994</v>
      </c>
    </row>
    <row r="7" spans="1:13" ht="42" thickBot="1" x14ac:dyDescent="0.35">
      <c r="A7" s="25" t="s">
        <v>106</v>
      </c>
      <c r="B7" s="22" t="s">
        <v>107</v>
      </c>
      <c r="C7" s="22" t="s">
        <v>104</v>
      </c>
      <c r="D7" s="22" t="s">
        <v>10</v>
      </c>
      <c r="E7" s="22" t="s">
        <v>108</v>
      </c>
      <c r="F7" s="22">
        <v>93</v>
      </c>
      <c r="G7" s="22">
        <v>305.83</v>
      </c>
      <c r="H7" s="22">
        <v>28442.19</v>
      </c>
      <c r="I7" s="22">
        <v>3847</v>
      </c>
      <c r="J7" s="45">
        <v>0.1</v>
      </c>
      <c r="L7" s="37" t="s">
        <v>326</v>
      </c>
      <c r="M7" s="39">
        <f>AVERAGE(Emp_db[Units_Sold])</f>
        <v>104.455</v>
      </c>
    </row>
    <row r="8" spans="1:13" ht="55.8" thickBot="1" x14ac:dyDescent="0.35">
      <c r="A8" s="25" t="s">
        <v>109</v>
      </c>
      <c r="B8" s="20" t="s">
        <v>110</v>
      </c>
      <c r="C8" s="20" t="s">
        <v>16</v>
      </c>
      <c r="D8" s="20" t="s">
        <v>22</v>
      </c>
      <c r="E8" s="20" t="s">
        <v>111</v>
      </c>
      <c r="F8" s="20">
        <v>146</v>
      </c>
      <c r="G8" s="20">
        <v>153.66</v>
      </c>
      <c r="H8" s="20">
        <v>22434.36</v>
      </c>
      <c r="I8" s="20">
        <v>42198</v>
      </c>
      <c r="J8" s="21">
        <v>0.12</v>
      </c>
      <c r="L8" s="36" t="s">
        <v>327</v>
      </c>
      <c r="M8" s="39">
        <f>AVERAGEIF(D2:D201,"North",H2:H201)</f>
        <v>21160.423095238097</v>
      </c>
    </row>
    <row r="9" spans="1:13" ht="55.8" thickBot="1" x14ac:dyDescent="0.35">
      <c r="A9" s="25" t="s">
        <v>112</v>
      </c>
      <c r="B9" s="22" t="s">
        <v>113</v>
      </c>
      <c r="C9" s="22" t="s">
        <v>19</v>
      </c>
      <c r="D9" s="22" t="s">
        <v>14</v>
      </c>
      <c r="E9" s="22" t="s">
        <v>114</v>
      </c>
      <c r="F9" s="22">
        <v>185</v>
      </c>
      <c r="G9" s="22">
        <v>44.08</v>
      </c>
      <c r="H9" s="22">
        <v>8154.8</v>
      </c>
      <c r="I9" s="22">
        <v>44336</v>
      </c>
      <c r="J9" s="23">
        <v>7.0000000000000007E-2</v>
      </c>
      <c r="L9" s="36" t="s">
        <v>328</v>
      </c>
      <c r="M9" s="39">
        <f>AVERAGEIF(C2:C201,"Electronics",F2:F201)</f>
        <v>106.47222222222223</v>
      </c>
    </row>
    <row r="10" spans="1:13" ht="69.599999999999994" thickBot="1" x14ac:dyDescent="0.35">
      <c r="A10" s="25" t="s">
        <v>115</v>
      </c>
      <c r="B10" s="20" t="s">
        <v>116</v>
      </c>
      <c r="C10" s="20" t="s">
        <v>19</v>
      </c>
      <c r="D10" s="20" t="s">
        <v>10</v>
      </c>
      <c r="E10" s="20" t="s">
        <v>114</v>
      </c>
      <c r="F10" s="20">
        <v>30</v>
      </c>
      <c r="G10" s="20">
        <v>196.26</v>
      </c>
      <c r="H10" s="20">
        <v>5887.8</v>
      </c>
      <c r="I10" s="20">
        <v>30714</v>
      </c>
      <c r="J10" s="21">
        <v>0.08</v>
      </c>
      <c r="L10" s="35" t="s">
        <v>329</v>
      </c>
      <c r="M10" s="39">
        <f>AVERAGEIFS(H2:H201,C2:C201,"Electronics",D2:D201,"North")</f>
        <v>10213.336666666668</v>
      </c>
    </row>
    <row r="11" spans="1:13" ht="97.2" thickBot="1" x14ac:dyDescent="0.35">
      <c r="A11" s="25" t="s">
        <v>117</v>
      </c>
      <c r="B11" s="22" t="s">
        <v>118</v>
      </c>
      <c r="C11" s="22" t="s">
        <v>19</v>
      </c>
      <c r="D11" s="22" t="s">
        <v>25</v>
      </c>
      <c r="E11" s="22" t="s">
        <v>114</v>
      </c>
      <c r="F11" s="22">
        <v>176</v>
      </c>
      <c r="G11" s="22">
        <v>140.82</v>
      </c>
      <c r="H11" s="22">
        <v>24784.32</v>
      </c>
      <c r="I11" s="22">
        <v>45796</v>
      </c>
      <c r="J11" s="23">
        <v>0.05</v>
      </c>
      <c r="K11" s="33"/>
      <c r="L11" s="37" t="s">
        <v>330</v>
      </c>
      <c r="M11" s="39">
        <f>AVERAGEIFS(J2:J201,D2:D201,"South",C2:C201,"Furniture")</f>
        <v>8.3333333333333329E-2</v>
      </c>
    </row>
    <row r="12" spans="1:13" ht="69.599999999999994" thickBot="1" x14ac:dyDescent="0.35">
      <c r="A12" s="25" t="s">
        <v>119</v>
      </c>
      <c r="B12" s="20" t="s">
        <v>120</v>
      </c>
      <c r="C12" s="20" t="s">
        <v>101</v>
      </c>
      <c r="D12" s="20" t="s">
        <v>14</v>
      </c>
      <c r="E12" s="20" t="s">
        <v>92</v>
      </c>
      <c r="F12" s="20">
        <v>67</v>
      </c>
      <c r="G12" s="20">
        <v>90.07</v>
      </c>
      <c r="H12" s="20">
        <v>6034.69</v>
      </c>
      <c r="I12" s="20">
        <v>25867</v>
      </c>
      <c r="J12" s="21">
        <v>0.08</v>
      </c>
      <c r="L12" s="37" t="s">
        <v>331</v>
      </c>
      <c r="M12" s="39" t="str">
        <f>IF(H2&gt;I2,"Met Target","Below target")</f>
        <v>Below target</v>
      </c>
    </row>
    <row r="13" spans="1:13" ht="42" thickBot="1" x14ac:dyDescent="0.35">
      <c r="A13" s="25" t="s">
        <v>121</v>
      </c>
      <c r="B13" s="22" t="s">
        <v>113</v>
      </c>
      <c r="C13" s="22" t="s">
        <v>94</v>
      </c>
      <c r="D13" s="22" t="s">
        <v>37</v>
      </c>
      <c r="E13" s="22" t="s">
        <v>122</v>
      </c>
      <c r="F13" s="22">
        <v>88</v>
      </c>
      <c r="G13" s="22">
        <v>423</v>
      </c>
      <c r="H13" s="22">
        <v>37224</v>
      </c>
      <c r="I13" s="22">
        <v>4665</v>
      </c>
      <c r="J13" s="23">
        <v>7.0000000000000007E-2</v>
      </c>
      <c r="L13" s="24" t="s">
        <v>332</v>
      </c>
      <c r="M13" s="42" t="str">
        <f>IF(F2&gt;=100,"$500","$0")</f>
        <v>$0</v>
      </c>
    </row>
    <row r="14" spans="1:13" ht="69.599999999999994" thickBot="1" x14ac:dyDescent="0.35">
      <c r="A14" s="25" t="s">
        <v>123</v>
      </c>
      <c r="B14" s="20" t="s">
        <v>124</v>
      </c>
      <c r="C14" s="20" t="s">
        <v>16</v>
      </c>
      <c r="D14" s="20" t="s">
        <v>25</v>
      </c>
      <c r="E14" s="20" t="s">
        <v>125</v>
      </c>
      <c r="F14" s="20">
        <v>73</v>
      </c>
      <c r="G14" s="20">
        <v>42.43</v>
      </c>
      <c r="H14" s="20">
        <v>3097.39</v>
      </c>
      <c r="I14" s="20">
        <v>38170</v>
      </c>
      <c r="J14" s="21">
        <v>0.08</v>
      </c>
      <c r="L14" s="37" t="s">
        <v>333</v>
      </c>
      <c r="M14" s="39">
        <f>SUMIF(D2:D201,"East",H2:H201)</f>
        <v>1134786.8900000004</v>
      </c>
    </row>
    <row r="15" spans="1:13" ht="69.599999999999994" thickBot="1" x14ac:dyDescent="0.35">
      <c r="A15" s="25" t="s">
        <v>126</v>
      </c>
      <c r="B15" s="22" t="s">
        <v>97</v>
      </c>
      <c r="C15" s="22" t="s">
        <v>104</v>
      </c>
      <c r="D15" s="22" t="s">
        <v>22</v>
      </c>
      <c r="E15" s="22" t="s">
        <v>122</v>
      </c>
      <c r="F15" s="22">
        <v>122</v>
      </c>
      <c r="G15" s="22">
        <v>80.010000000000005</v>
      </c>
      <c r="H15" s="22">
        <v>9761.2199999999993</v>
      </c>
      <c r="I15" s="22">
        <v>10150</v>
      </c>
      <c r="J15" s="23">
        <v>7.0000000000000007E-2</v>
      </c>
      <c r="L15" s="36" t="s">
        <v>334</v>
      </c>
      <c r="M15" s="39">
        <f>SUMIF(C2:C201,"Sports",H2:H201)</f>
        <v>1058565.31</v>
      </c>
    </row>
    <row r="16" spans="1:13" ht="55.8" thickBot="1" x14ac:dyDescent="0.35">
      <c r="A16" s="25" t="s">
        <v>127</v>
      </c>
      <c r="B16" s="20" t="s">
        <v>103</v>
      </c>
      <c r="C16" s="20" t="s">
        <v>94</v>
      </c>
      <c r="D16" s="20" t="s">
        <v>14</v>
      </c>
      <c r="E16" s="20" t="s">
        <v>105</v>
      </c>
      <c r="F16" s="20">
        <v>196</v>
      </c>
      <c r="G16" s="20">
        <v>296.45</v>
      </c>
      <c r="H16" s="20">
        <v>58104.2</v>
      </c>
      <c r="I16" s="20">
        <v>39242</v>
      </c>
      <c r="J16" s="21">
        <v>0.1</v>
      </c>
      <c r="L16" s="36" t="s">
        <v>335</v>
      </c>
      <c r="M16" s="39">
        <f>COUNTIF(D2:D201,"West")</f>
        <v>42</v>
      </c>
    </row>
    <row r="17" spans="1:13" ht="55.8" thickBot="1" x14ac:dyDescent="0.35">
      <c r="A17" s="25" t="s">
        <v>128</v>
      </c>
      <c r="B17" s="22" t="s">
        <v>129</v>
      </c>
      <c r="C17" s="22" t="s">
        <v>101</v>
      </c>
      <c r="D17" s="22" t="s">
        <v>37</v>
      </c>
      <c r="E17" s="22" t="s">
        <v>130</v>
      </c>
      <c r="F17" s="22">
        <v>131</v>
      </c>
      <c r="G17" s="22">
        <v>54.55</v>
      </c>
      <c r="H17" s="22">
        <v>7146.05</v>
      </c>
      <c r="I17" s="22">
        <v>4087</v>
      </c>
      <c r="J17" s="23">
        <v>0.05</v>
      </c>
      <c r="L17" s="36" t="s">
        <v>336</v>
      </c>
      <c r="M17" s="39">
        <f>COUNTIF(F2:F201,"&gt;100")</f>
        <v>104</v>
      </c>
    </row>
    <row r="18" spans="1:13" ht="55.8" thickBot="1" x14ac:dyDescent="0.35">
      <c r="A18" s="25" t="s">
        <v>131</v>
      </c>
      <c r="B18" s="20" t="s">
        <v>118</v>
      </c>
      <c r="C18" s="20" t="s">
        <v>101</v>
      </c>
      <c r="D18" s="20" t="s">
        <v>22</v>
      </c>
      <c r="E18" s="20" t="s">
        <v>95</v>
      </c>
      <c r="F18" s="20">
        <v>21</v>
      </c>
      <c r="G18" s="20">
        <v>198.54</v>
      </c>
      <c r="H18" s="20">
        <v>4169.34</v>
      </c>
      <c r="I18" s="20">
        <v>40052</v>
      </c>
      <c r="J18" s="21">
        <v>0.1</v>
      </c>
      <c r="L18" s="24" t="s">
        <v>337</v>
      </c>
      <c r="M18" s="42" t="str">
        <f>RIGHT(A2,4)</f>
        <v>1001</v>
      </c>
    </row>
    <row r="19" spans="1:13" ht="28.2" thickBot="1" x14ac:dyDescent="0.35">
      <c r="A19" s="25" t="s">
        <v>132</v>
      </c>
      <c r="B19" s="22" t="s">
        <v>110</v>
      </c>
      <c r="C19" s="22" t="s">
        <v>19</v>
      </c>
      <c r="D19" s="22" t="s">
        <v>14</v>
      </c>
      <c r="E19" s="22" t="s">
        <v>98</v>
      </c>
      <c r="F19" s="22">
        <v>179</v>
      </c>
      <c r="G19" s="22">
        <v>363.15</v>
      </c>
      <c r="H19" s="22">
        <v>65003.85</v>
      </c>
      <c r="I19" s="22">
        <v>45676</v>
      </c>
      <c r="J19" s="23">
        <v>0.12</v>
      </c>
      <c r="L19" s="37" t="s">
        <v>338</v>
      </c>
      <c r="M19" s="39" t="str">
        <f>UPPER(C2)</f>
        <v>ELECTRONICS</v>
      </c>
    </row>
    <row r="20" spans="1:13" ht="28.2" thickBot="1" x14ac:dyDescent="0.35">
      <c r="A20" s="25" t="s">
        <v>133</v>
      </c>
      <c r="B20" s="20" t="s">
        <v>116</v>
      </c>
      <c r="C20" s="20" t="s">
        <v>19</v>
      </c>
      <c r="D20" s="20" t="s">
        <v>25</v>
      </c>
      <c r="E20" s="20" t="s">
        <v>111</v>
      </c>
      <c r="F20" s="20">
        <v>80</v>
      </c>
      <c r="G20" s="20">
        <v>223.03</v>
      </c>
      <c r="H20" s="20">
        <v>17842.400000000001</v>
      </c>
      <c r="I20" s="20">
        <v>30735</v>
      </c>
      <c r="J20" s="21">
        <v>0.05</v>
      </c>
      <c r="L20" s="32" t="s">
        <v>339</v>
      </c>
      <c r="M20" s="39" t="str">
        <f>LOWER(C2)</f>
        <v>electronics</v>
      </c>
    </row>
    <row r="21" spans="1:13" ht="15" thickBot="1" x14ac:dyDescent="0.35">
      <c r="A21" s="25" t="s">
        <v>134</v>
      </c>
      <c r="B21" s="22" t="s">
        <v>103</v>
      </c>
      <c r="C21" s="22" t="s">
        <v>19</v>
      </c>
      <c r="D21" s="22" t="s">
        <v>14</v>
      </c>
      <c r="E21" s="22" t="s">
        <v>135</v>
      </c>
      <c r="F21" s="22">
        <v>134</v>
      </c>
      <c r="G21" s="22">
        <v>457.19</v>
      </c>
      <c r="H21" s="22">
        <v>61263.46</v>
      </c>
      <c r="I21" s="22">
        <v>41979</v>
      </c>
      <c r="J21" s="23">
        <v>0.08</v>
      </c>
    </row>
    <row r="22" spans="1:13" ht="15" thickBot="1" x14ac:dyDescent="0.35">
      <c r="A22" s="25" t="s">
        <v>136</v>
      </c>
      <c r="B22" s="20" t="s">
        <v>124</v>
      </c>
      <c r="C22" s="20" t="s">
        <v>94</v>
      </c>
      <c r="D22" s="20" t="s">
        <v>14</v>
      </c>
      <c r="E22" s="20" t="s">
        <v>114</v>
      </c>
      <c r="F22" s="20">
        <v>44</v>
      </c>
      <c r="G22" s="20">
        <v>193.22</v>
      </c>
      <c r="H22" s="20">
        <v>8501.68</v>
      </c>
      <c r="I22" s="20">
        <v>11587</v>
      </c>
      <c r="J22" s="21">
        <v>0.12</v>
      </c>
    </row>
    <row r="23" spans="1:13" ht="15" thickBot="1" x14ac:dyDescent="0.35">
      <c r="A23" s="25" t="s">
        <v>137</v>
      </c>
      <c r="B23" s="22" t="s">
        <v>116</v>
      </c>
      <c r="C23" s="22" t="s">
        <v>94</v>
      </c>
      <c r="D23" s="22" t="s">
        <v>10</v>
      </c>
      <c r="E23" s="22" t="s">
        <v>95</v>
      </c>
      <c r="F23" s="22">
        <v>87</v>
      </c>
      <c r="G23" s="22">
        <v>249.42</v>
      </c>
      <c r="H23" s="22">
        <v>21699.54</v>
      </c>
      <c r="I23" s="22">
        <v>8331</v>
      </c>
      <c r="J23" s="23">
        <v>0.08</v>
      </c>
    </row>
    <row r="24" spans="1:13" ht="15" thickBot="1" x14ac:dyDescent="0.35">
      <c r="A24" s="25" t="s">
        <v>138</v>
      </c>
      <c r="B24" s="20" t="s">
        <v>113</v>
      </c>
      <c r="C24" s="20" t="s">
        <v>19</v>
      </c>
      <c r="D24" s="20" t="s">
        <v>37</v>
      </c>
      <c r="E24" s="20" t="s">
        <v>98</v>
      </c>
      <c r="F24" s="20">
        <v>66</v>
      </c>
      <c r="G24" s="20">
        <v>440.22</v>
      </c>
      <c r="H24" s="20">
        <v>29054.52</v>
      </c>
      <c r="I24" s="20">
        <v>6161</v>
      </c>
      <c r="J24" s="21">
        <v>0.05</v>
      </c>
    </row>
    <row r="25" spans="1:13" ht="15" thickBot="1" x14ac:dyDescent="0.35">
      <c r="A25" s="25" t="s">
        <v>139</v>
      </c>
      <c r="B25" s="22" t="s">
        <v>103</v>
      </c>
      <c r="C25" s="22" t="s">
        <v>104</v>
      </c>
      <c r="D25" s="22" t="s">
        <v>10</v>
      </c>
      <c r="E25" s="22" t="s">
        <v>130</v>
      </c>
      <c r="F25" s="22">
        <v>37</v>
      </c>
      <c r="G25" s="22">
        <v>72.91</v>
      </c>
      <c r="H25" s="22">
        <v>2697.67</v>
      </c>
      <c r="I25" s="22">
        <v>32148</v>
      </c>
      <c r="J25" s="23">
        <v>0.12</v>
      </c>
    </row>
    <row r="26" spans="1:13" ht="15" thickBot="1" x14ac:dyDescent="0.35">
      <c r="A26" s="25" t="s">
        <v>140</v>
      </c>
      <c r="B26" s="20" t="s">
        <v>118</v>
      </c>
      <c r="C26" s="20" t="s">
        <v>19</v>
      </c>
      <c r="D26" s="20" t="s">
        <v>14</v>
      </c>
      <c r="E26" s="20" t="s">
        <v>95</v>
      </c>
      <c r="F26" s="20">
        <v>113</v>
      </c>
      <c r="G26" s="20">
        <v>482.54</v>
      </c>
      <c r="H26" s="20">
        <v>54527.02</v>
      </c>
      <c r="I26" s="20">
        <v>36343</v>
      </c>
      <c r="J26" s="21">
        <v>7.0000000000000007E-2</v>
      </c>
    </row>
    <row r="27" spans="1:13" ht="15" thickBot="1" x14ac:dyDescent="0.35">
      <c r="A27" s="25" t="s">
        <v>141</v>
      </c>
      <c r="B27" s="22" t="s">
        <v>103</v>
      </c>
      <c r="C27" s="22" t="s">
        <v>19</v>
      </c>
      <c r="D27" s="22" t="s">
        <v>22</v>
      </c>
      <c r="E27" s="22" t="s">
        <v>122</v>
      </c>
      <c r="F27" s="22">
        <v>171</v>
      </c>
      <c r="G27" s="22">
        <v>192.98</v>
      </c>
      <c r="H27" s="22">
        <v>32999.58</v>
      </c>
      <c r="I27" s="22">
        <v>34919</v>
      </c>
      <c r="J27" s="23">
        <v>0.1</v>
      </c>
    </row>
    <row r="28" spans="1:13" ht="15" thickBot="1" x14ac:dyDescent="0.35">
      <c r="A28" s="25" t="s">
        <v>142</v>
      </c>
      <c r="B28" s="20" t="s">
        <v>107</v>
      </c>
      <c r="C28" s="20" t="s">
        <v>101</v>
      </c>
      <c r="D28" s="20" t="s">
        <v>37</v>
      </c>
      <c r="E28" s="20" t="s">
        <v>111</v>
      </c>
      <c r="F28" s="20">
        <v>91</v>
      </c>
      <c r="G28" s="20">
        <v>20.309999999999999</v>
      </c>
      <c r="H28" s="20">
        <v>1848.21</v>
      </c>
      <c r="I28" s="20">
        <v>37301</v>
      </c>
      <c r="J28" s="21">
        <v>7.0000000000000007E-2</v>
      </c>
    </row>
    <row r="29" spans="1:13" ht="15" thickBot="1" x14ac:dyDescent="0.35">
      <c r="A29" s="25" t="s">
        <v>143</v>
      </c>
      <c r="B29" s="22" t="s">
        <v>120</v>
      </c>
      <c r="C29" s="22" t="s">
        <v>101</v>
      </c>
      <c r="D29" s="22" t="s">
        <v>10</v>
      </c>
      <c r="E29" s="22" t="s">
        <v>111</v>
      </c>
      <c r="F29" s="22">
        <v>186</v>
      </c>
      <c r="G29" s="22">
        <v>319.24</v>
      </c>
      <c r="H29" s="22">
        <v>59378.64</v>
      </c>
      <c r="I29" s="22">
        <v>16003</v>
      </c>
      <c r="J29" s="23">
        <v>0.05</v>
      </c>
    </row>
    <row r="30" spans="1:13" ht="15" thickBot="1" x14ac:dyDescent="0.35">
      <c r="A30" s="25" t="s">
        <v>144</v>
      </c>
      <c r="B30" s="20" t="s">
        <v>113</v>
      </c>
      <c r="C30" s="20" t="s">
        <v>16</v>
      </c>
      <c r="D30" s="20" t="s">
        <v>25</v>
      </c>
      <c r="E30" s="20" t="s">
        <v>111</v>
      </c>
      <c r="F30" s="20">
        <v>136</v>
      </c>
      <c r="G30" s="20">
        <v>126.62</v>
      </c>
      <c r="H30" s="20">
        <v>17220.32</v>
      </c>
      <c r="I30" s="20">
        <v>44842</v>
      </c>
      <c r="J30" s="21">
        <v>0.1</v>
      </c>
    </row>
    <row r="31" spans="1:13" ht="15" thickBot="1" x14ac:dyDescent="0.35">
      <c r="A31" s="25" t="s">
        <v>145</v>
      </c>
      <c r="B31" s="22" t="s">
        <v>97</v>
      </c>
      <c r="C31" s="22" t="s">
        <v>94</v>
      </c>
      <c r="D31" s="22" t="s">
        <v>37</v>
      </c>
      <c r="E31" s="22" t="s">
        <v>92</v>
      </c>
      <c r="F31" s="22">
        <v>151</v>
      </c>
      <c r="G31" s="22">
        <v>292.33999999999997</v>
      </c>
      <c r="H31" s="22">
        <v>44143.34</v>
      </c>
      <c r="I31" s="22">
        <v>16925</v>
      </c>
      <c r="J31" s="23">
        <v>0.1</v>
      </c>
    </row>
    <row r="32" spans="1:13" ht="15" thickBot="1" x14ac:dyDescent="0.35">
      <c r="A32" s="25" t="s">
        <v>146</v>
      </c>
      <c r="B32" s="20" t="s">
        <v>116</v>
      </c>
      <c r="C32" s="20" t="s">
        <v>104</v>
      </c>
      <c r="D32" s="20" t="s">
        <v>37</v>
      </c>
      <c r="E32" s="20" t="s">
        <v>111</v>
      </c>
      <c r="F32" s="20">
        <v>29</v>
      </c>
      <c r="G32" s="20">
        <v>332.9</v>
      </c>
      <c r="H32" s="20">
        <v>9654.1</v>
      </c>
      <c r="I32" s="20">
        <v>24219</v>
      </c>
      <c r="J32" s="21">
        <v>0.1</v>
      </c>
    </row>
    <row r="33" spans="1:10" ht="15" thickBot="1" x14ac:dyDescent="0.35">
      <c r="A33" s="25" t="s">
        <v>147</v>
      </c>
      <c r="B33" s="22" t="s">
        <v>100</v>
      </c>
      <c r="C33" s="22" t="s">
        <v>104</v>
      </c>
      <c r="D33" s="22" t="s">
        <v>10</v>
      </c>
      <c r="E33" s="22" t="s">
        <v>122</v>
      </c>
      <c r="F33" s="22">
        <v>172</v>
      </c>
      <c r="G33" s="22">
        <v>492.24</v>
      </c>
      <c r="H33" s="22">
        <v>84665.279999999999</v>
      </c>
      <c r="I33" s="22">
        <v>7449</v>
      </c>
      <c r="J33" s="23">
        <v>0.05</v>
      </c>
    </row>
    <row r="34" spans="1:10" ht="15" thickBot="1" x14ac:dyDescent="0.35">
      <c r="A34" s="25" t="s">
        <v>148</v>
      </c>
      <c r="B34" s="20" t="s">
        <v>100</v>
      </c>
      <c r="C34" s="20" t="s">
        <v>19</v>
      </c>
      <c r="D34" s="20" t="s">
        <v>10</v>
      </c>
      <c r="E34" s="20" t="s">
        <v>114</v>
      </c>
      <c r="F34" s="20">
        <v>54</v>
      </c>
      <c r="G34" s="20">
        <v>103.2</v>
      </c>
      <c r="H34" s="20">
        <v>5572.8</v>
      </c>
      <c r="I34" s="20">
        <v>30400</v>
      </c>
      <c r="J34" s="21">
        <v>7.0000000000000007E-2</v>
      </c>
    </row>
    <row r="35" spans="1:10" ht="15" thickBot="1" x14ac:dyDescent="0.35">
      <c r="A35" s="25" t="s">
        <v>149</v>
      </c>
      <c r="B35" s="22" t="s">
        <v>100</v>
      </c>
      <c r="C35" s="22" t="s">
        <v>101</v>
      </c>
      <c r="D35" s="22" t="s">
        <v>25</v>
      </c>
      <c r="E35" s="22" t="s">
        <v>150</v>
      </c>
      <c r="F35" s="22">
        <v>68</v>
      </c>
      <c r="G35" s="22">
        <v>438.5</v>
      </c>
      <c r="H35" s="22">
        <v>29818</v>
      </c>
      <c r="I35" s="22">
        <v>5940</v>
      </c>
      <c r="J35" s="23">
        <v>0.1</v>
      </c>
    </row>
    <row r="36" spans="1:10" ht="15" thickBot="1" x14ac:dyDescent="0.35">
      <c r="A36" s="25" t="s">
        <v>151</v>
      </c>
      <c r="B36" s="20" t="s">
        <v>116</v>
      </c>
      <c r="C36" s="20" t="s">
        <v>94</v>
      </c>
      <c r="D36" s="20" t="s">
        <v>10</v>
      </c>
      <c r="E36" s="20" t="s">
        <v>98</v>
      </c>
      <c r="F36" s="20">
        <v>171</v>
      </c>
      <c r="G36" s="20">
        <v>499.65</v>
      </c>
      <c r="H36" s="20">
        <v>85440.15</v>
      </c>
      <c r="I36" s="20">
        <v>1967</v>
      </c>
      <c r="J36" s="21">
        <v>0.05</v>
      </c>
    </row>
    <row r="37" spans="1:10" ht="15" thickBot="1" x14ac:dyDescent="0.35">
      <c r="A37" s="25" t="s">
        <v>152</v>
      </c>
      <c r="B37" s="22" t="s">
        <v>113</v>
      </c>
      <c r="C37" s="22" t="s">
        <v>101</v>
      </c>
      <c r="D37" s="22" t="s">
        <v>37</v>
      </c>
      <c r="E37" s="22" t="s">
        <v>125</v>
      </c>
      <c r="F37" s="22">
        <v>129</v>
      </c>
      <c r="G37" s="22">
        <v>245.87</v>
      </c>
      <c r="H37" s="22">
        <v>31717.23</v>
      </c>
      <c r="I37" s="22">
        <v>27282</v>
      </c>
      <c r="J37" s="23">
        <v>0.05</v>
      </c>
    </row>
    <row r="38" spans="1:10" ht="15" thickBot="1" x14ac:dyDescent="0.35">
      <c r="A38" s="25" t="s">
        <v>153</v>
      </c>
      <c r="B38" s="20" t="s">
        <v>118</v>
      </c>
      <c r="C38" s="20" t="s">
        <v>104</v>
      </c>
      <c r="D38" s="20" t="s">
        <v>10</v>
      </c>
      <c r="E38" s="20" t="s">
        <v>125</v>
      </c>
      <c r="F38" s="20">
        <v>72</v>
      </c>
      <c r="G38" s="20">
        <v>463.99</v>
      </c>
      <c r="H38" s="20">
        <v>33407.279999999999</v>
      </c>
      <c r="I38" s="20">
        <v>30819</v>
      </c>
      <c r="J38" s="21">
        <v>0.08</v>
      </c>
    </row>
    <row r="39" spans="1:10" ht="15" thickBot="1" x14ac:dyDescent="0.35">
      <c r="A39" s="25" t="s">
        <v>154</v>
      </c>
      <c r="B39" s="22" t="s">
        <v>100</v>
      </c>
      <c r="C39" s="22" t="s">
        <v>94</v>
      </c>
      <c r="D39" s="22" t="s">
        <v>22</v>
      </c>
      <c r="E39" s="22" t="s">
        <v>135</v>
      </c>
      <c r="F39" s="22">
        <v>53</v>
      </c>
      <c r="G39" s="22">
        <v>155.38999999999999</v>
      </c>
      <c r="H39" s="22">
        <v>8235.67</v>
      </c>
      <c r="I39" s="22">
        <v>4832</v>
      </c>
      <c r="J39" s="23">
        <v>0.12</v>
      </c>
    </row>
    <row r="40" spans="1:10" ht="15" thickBot="1" x14ac:dyDescent="0.35">
      <c r="A40" s="25" t="s">
        <v>155</v>
      </c>
      <c r="B40" s="20" t="s">
        <v>103</v>
      </c>
      <c r="C40" s="20" t="s">
        <v>94</v>
      </c>
      <c r="D40" s="20" t="s">
        <v>10</v>
      </c>
      <c r="E40" s="20" t="s">
        <v>92</v>
      </c>
      <c r="F40" s="20">
        <v>85</v>
      </c>
      <c r="G40" s="20">
        <v>38.01</v>
      </c>
      <c r="H40" s="20">
        <v>3230.85</v>
      </c>
      <c r="I40" s="20">
        <v>39284</v>
      </c>
      <c r="J40" s="21">
        <v>0.1</v>
      </c>
    </row>
    <row r="41" spans="1:10" ht="15" thickBot="1" x14ac:dyDescent="0.35">
      <c r="A41" s="25" t="s">
        <v>156</v>
      </c>
      <c r="B41" s="22" t="s">
        <v>110</v>
      </c>
      <c r="C41" s="22" t="s">
        <v>94</v>
      </c>
      <c r="D41" s="22" t="s">
        <v>37</v>
      </c>
      <c r="E41" s="22" t="s">
        <v>98</v>
      </c>
      <c r="F41" s="22">
        <v>135</v>
      </c>
      <c r="G41" s="22">
        <v>49.25</v>
      </c>
      <c r="H41" s="22">
        <v>6648.75</v>
      </c>
      <c r="I41" s="22">
        <v>13178</v>
      </c>
      <c r="J41" s="23">
        <v>0.05</v>
      </c>
    </row>
    <row r="42" spans="1:10" ht="15" thickBot="1" x14ac:dyDescent="0.35">
      <c r="A42" s="25" t="s">
        <v>157</v>
      </c>
      <c r="B42" s="20" t="s">
        <v>120</v>
      </c>
      <c r="C42" s="20" t="s">
        <v>16</v>
      </c>
      <c r="D42" s="20" t="s">
        <v>37</v>
      </c>
      <c r="E42" s="20" t="s">
        <v>125</v>
      </c>
      <c r="F42" s="20">
        <v>35</v>
      </c>
      <c r="G42" s="20">
        <v>471.38</v>
      </c>
      <c r="H42" s="20">
        <v>16498.3</v>
      </c>
      <c r="I42" s="20">
        <v>38334</v>
      </c>
      <c r="J42" s="21">
        <v>7.0000000000000007E-2</v>
      </c>
    </row>
    <row r="43" spans="1:10" ht="15" thickBot="1" x14ac:dyDescent="0.35">
      <c r="A43" s="25" t="s">
        <v>158</v>
      </c>
      <c r="B43" s="22" t="s">
        <v>120</v>
      </c>
      <c r="C43" s="22" t="s">
        <v>94</v>
      </c>
      <c r="D43" s="22" t="s">
        <v>10</v>
      </c>
      <c r="E43" s="22" t="s">
        <v>95</v>
      </c>
      <c r="F43" s="22">
        <v>25</v>
      </c>
      <c r="G43" s="22">
        <v>215.42</v>
      </c>
      <c r="H43" s="22">
        <v>5385.5</v>
      </c>
      <c r="I43" s="22">
        <v>39251</v>
      </c>
      <c r="J43" s="23">
        <v>0.12</v>
      </c>
    </row>
    <row r="44" spans="1:10" ht="15" thickBot="1" x14ac:dyDescent="0.35">
      <c r="A44" s="25" t="s">
        <v>159</v>
      </c>
      <c r="B44" s="20" t="s">
        <v>110</v>
      </c>
      <c r="C44" s="20" t="s">
        <v>19</v>
      </c>
      <c r="D44" s="20" t="s">
        <v>25</v>
      </c>
      <c r="E44" s="20" t="s">
        <v>114</v>
      </c>
      <c r="F44" s="20">
        <v>176</v>
      </c>
      <c r="G44" s="20">
        <v>360.93</v>
      </c>
      <c r="H44" s="20">
        <v>63523.68</v>
      </c>
      <c r="I44" s="20">
        <v>16642</v>
      </c>
      <c r="J44" s="21">
        <v>0.08</v>
      </c>
    </row>
    <row r="45" spans="1:10" ht="15" thickBot="1" x14ac:dyDescent="0.35">
      <c r="A45" s="25" t="s">
        <v>160</v>
      </c>
      <c r="B45" s="22" t="s">
        <v>100</v>
      </c>
      <c r="C45" s="22" t="s">
        <v>101</v>
      </c>
      <c r="D45" s="22" t="s">
        <v>25</v>
      </c>
      <c r="E45" s="22" t="s">
        <v>150</v>
      </c>
      <c r="F45" s="22">
        <v>85</v>
      </c>
      <c r="G45" s="22">
        <v>465.22</v>
      </c>
      <c r="H45" s="22">
        <v>39543.699999999997</v>
      </c>
      <c r="I45" s="22">
        <v>5754</v>
      </c>
      <c r="J45" s="23">
        <v>0.05</v>
      </c>
    </row>
    <row r="46" spans="1:10" ht="15" thickBot="1" x14ac:dyDescent="0.35">
      <c r="A46" s="25" t="s">
        <v>161</v>
      </c>
      <c r="B46" s="20" t="s">
        <v>162</v>
      </c>
      <c r="C46" s="20" t="s">
        <v>94</v>
      </c>
      <c r="D46" s="20" t="s">
        <v>14</v>
      </c>
      <c r="E46" s="20" t="s">
        <v>111</v>
      </c>
      <c r="F46" s="20">
        <v>23</v>
      </c>
      <c r="G46" s="20">
        <v>273.44</v>
      </c>
      <c r="H46" s="20">
        <v>6289.12</v>
      </c>
      <c r="I46" s="20">
        <v>34153</v>
      </c>
      <c r="J46" s="21">
        <v>0.08</v>
      </c>
    </row>
    <row r="47" spans="1:10" ht="15" thickBot="1" x14ac:dyDescent="0.35">
      <c r="A47" s="25" t="s">
        <v>163</v>
      </c>
      <c r="B47" s="22" t="s">
        <v>118</v>
      </c>
      <c r="C47" s="22" t="s">
        <v>19</v>
      </c>
      <c r="D47" s="22" t="s">
        <v>10</v>
      </c>
      <c r="E47" s="22" t="s">
        <v>114</v>
      </c>
      <c r="F47" s="22">
        <v>99</v>
      </c>
      <c r="G47" s="22">
        <v>149.63999999999999</v>
      </c>
      <c r="H47" s="22">
        <v>14814.36</v>
      </c>
      <c r="I47" s="22">
        <v>29716</v>
      </c>
      <c r="J47" s="23">
        <v>0.12</v>
      </c>
    </row>
    <row r="48" spans="1:10" ht="15" thickBot="1" x14ac:dyDescent="0.35">
      <c r="A48" s="25" t="s">
        <v>164</v>
      </c>
      <c r="B48" s="20" t="s">
        <v>103</v>
      </c>
      <c r="C48" s="20" t="s">
        <v>19</v>
      </c>
      <c r="D48" s="20" t="s">
        <v>14</v>
      </c>
      <c r="E48" s="20" t="s">
        <v>122</v>
      </c>
      <c r="F48" s="20">
        <v>140</v>
      </c>
      <c r="G48" s="20">
        <v>13.83</v>
      </c>
      <c r="H48" s="20">
        <v>1936.2</v>
      </c>
      <c r="I48" s="20">
        <v>37346</v>
      </c>
      <c r="J48" s="21">
        <v>0.08</v>
      </c>
    </row>
    <row r="49" spans="1:10" ht="15" thickBot="1" x14ac:dyDescent="0.35">
      <c r="A49" s="25" t="s">
        <v>165</v>
      </c>
      <c r="B49" s="22" t="s">
        <v>113</v>
      </c>
      <c r="C49" s="22" t="s">
        <v>16</v>
      </c>
      <c r="D49" s="22" t="s">
        <v>37</v>
      </c>
      <c r="E49" s="22" t="s">
        <v>105</v>
      </c>
      <c r="F49" s="22">
        <v>34</v>
      </c>
      <c r="G49" s="22">
        <v>445.96</v>
      </c>
      <c r="H49" s="22">
        <v>15162.64</v>
      </c>
      <c r="I49" s="22">
        <v>49655</v>
      </c>
      <c r="J49" s="23">
        <v>0.12</v>
      </c>
    </row>
    <row r="50" spans="1:10" ht="15" thickBot="1" x14ac:dyDescent="0.35">
      <c r="A50" s="25" t="s">
        <v>166</v>
      </c>
      <c r="B50" s="20" t="s">
        <v>118</v>
      </c>
      <c r="C50" s="20" t="s">
        <v>19</v>
      </c>
      <c r="D50" s="20" t="s">
        <v>25</v>
      </c>
      <c r="E50" s="20" t="s">
        <v>95</v>
      </c>
      <c r="F50" s="20">
        <v>58</v>
      </c>
      <c r="G50" s="20">
        <v>361.63</v>
      </c>
      <c r="H50" s="20">
        <v>20974.54</v>
      </c>
      <c r="I50" s="20">
        <v>14342</v>
      </c>
      <c r="J50" s="21">
        <v>0.08</v>
      </c>
    </row>
    <row r="51" spans="1:10" ht="15" thickBot="1" x14ac:dyDescent="0.35">
      <c r="A51" s="25" t="s">
        <v>167</v>
      </c>
      <c r="B51" s="22" t="s">
        <v>110</v>
      </c>
      <c r="C51" s="22" t="s">
        <v>104</v>
      </c>
      <c r="D51" s="22" t="s">
        <v>25</v>
      </c>
      <c r="E51" s="22" t="s">
        <v>98</v>
      </c>
      <c r="F51" s="22">
        <v>28</v>
      </c>
      <c r="G51" s="22">
        <v>320.8</v>
      </c>
      <c r="H51" s="22">
        <v>8982.4</v>
      </c>
      <c r="I51" s="22">
        <v>19132</v>
      </c>
      <c r="J51" s="23">
        <v>0.05</v>
      </c>
    </row>
    <row r="52" spans="1:10" ht="15" thickBot="1" x14ac:dyDescent="0.35">
      <c r="A52" s="25" t="s">
        <v>168</v>
      </c>
      <c r="B52" s="20" t="s">
        <v>169</v>
      </c>
      <c r="C52" s="20" t="s">
        <v>19</v>
      </c>
      <c r="D52" s="20" t="s">
        <v>37</v>
      </c>
      <c r="E52" s="20" t="s">
        <v>122</v>
      </c>
      <c r="F52" s="20">
        <v>72</v>
      </c>
      <c r="G52" s="20">
        <v>89.18</v>
      </c>
      <c r="H52" s="20">
        <v>6420.96</v>
      </c>
      <c r="I52" s="20">
        <v>29956</v>
      </c>
      <c r="J52" s="21">
        <v>0.12</v>
      </c>
    </row>
    <row r="53" spans="1:10" ht="15" thickBot="1" x14ac:dyDescent="0.35">
      <c r="A53" s="25" t="s">
        <v>170</v>
      </c>
      <c r="B53" s="22" t="s">
        <v>103</v>
      </c>
      <c r="C53" s="22" t="s">
        <v>104</v>
      </c>
      <c r="D53" s="22" t="s">
        <v>14</v>
      </c>
      <c r="E53" s="22" t="s">
        <v>98</v>
      </c>
      <c r="F53" s="22">
        <v>33</v>
      </c>
      <c r="G53" s="22">
        <v>46.87</v>
      </c>
      <c r="H53" s="22">
        <v>1546.71</v>
      </c>
      <c r="I53" s="22">
        <v>46286</v>
      </c>
      <c r="J53" s="23">
        <v>7.0000000000000007E-2</v>
      </c>
    </row>
    <row r="54" spans="1:10" ht="15" thickBot="1" x14ac:dyDescent="0.35">
      <c r="A54" s="25" t="s">
        <v>171</v>
      </c>
      <c r="B54" s="20" t="s">
        <v>110</v>
      </c>
      <c r="C54" s="20" t="s">
        <v>16</v>
      </c>
      <c r="D54" s="20" t="s">
        <v>25</v>
      </c>
      <c r="E54" s="20" t="s">
        <v>95</v>
      </c>
      <c r="F54" s="20">
        <v>146</v>
      </c>
      <c r="G54" s="20">
        <v>82.57</v>
      </c>
      <c r="H54" s="20">
        <v>12055.22</v>
      </c>
      <c r="I54" s="20">
        <v>9352</v>
      </c>
      <c r="J54" s="21">
        <v>0.05</v>
      </c>
    </row>
    <row r="55" spans="1:10" ht="15" thickBot="1" x14ac:dyDescent="0.35">
      <c r="A55" s="25" t="s">
        <v>172</v>
      </c>
      <c r="B55" s="22" t="s">
        <v>173</v>
      </c>
      <c r="C55" s="22" t="s">
        <v>19</v>
      </c>
      <c r="D55" s="22" t="s">
        <v>10</v>
      </c>
      <c r="E55" s="22" t="s">
        <v>108</v>
      </c>
      <c r="F55" s="22">
        <v>58</v>
      </c>
      <c r="G55" s="22">
        <v>344.21</v>
      </c>
      <c r="H55" s="22">
        <v>19964.18</v>
      </c>
      <c r="I55" s="22">
        <v>44708</v>
      </c>
      <c r="J55" s="23">
        <v>0.05</v>
      </c>
    </row>
    <row r="56" spans="1:10" ht="15" thickBot="1" x14ac:dyDescent="0.35">
      <c r="A56" s="25" t="s">
        <v>174</v>
      </c>
      <c r="B56" s="20" t="s">
        <v>129</v>
      </c>
      <c r="C56" s="20" t="s">
        <v>94</v>
      </c>
      <c r="D56" s="20" t="s">
        <v>22</v>
      </c>
      <c r="E56" s="20" t="s">
        <v>95</v>
      </c>
      <c r="F56" s="20">
        <v>196</v>
      </c>
      <c r="G56" s="20">
        <v>85.73</v>
      </c>
      <c r="H56" s="20">
        <v>16803.080000000002</v>
      </c>
      <c r="I56" s="20">
        <v>16514</v>
      </c>
      <c r="J56" s="21">
        <v>7.0000000000000007E-2</v>
      </c>
    </row>
    <row r="57" spans="1:10" ht="15" thickBot="1" x14ac:dyDescent="0.35">
      <c r="A57" s="25" t="s">
        <v>175</v>
      </c>
      <c r="B57" s="22" t="s">
        <v>116</v>
      </c>
      <c r="C57" s="22" t="s">
        <v>101</v>
      </c>
      <c r="D57" s="22" t="s">
        <v>22</v>
      </c>
      <c r="E57" s="22" t="s">
        <v>98</v>
      </c>
      <c r="F57" s="22">
        <v>50</v>
      </c>
      <c r="G57" s="22">
        <v>370.92</v>
      </c>
      <c r="H57" s="22">
        <v>18546</v>
      </c>
      <c r="I57" s="22">
        <v>22770</v>
      </c>
      <c r="J57" s="23">
        <v>0.1</v>
      </c>
    </row>
    <row r="58" spans="1:10" ht="15" thickBot="1" x14ac:dyDescent="0.35">
      <c r="A58" s="25" t="s">
        <v>176</v>
      </c>
      <c r="B58" s="20" t="s">
        <v>116</v>
      </c>
      <c r="C58" s="20" t="s">
        <v>101</v>
      </c>
      <c r="D58" s="20" t="s">
        <v>25</v>
      </c>
      <c r="E58" s="20" t="s">
        <v>135</v>
      </c>
      <c r="F58" s="20">
        <v>184</v>
      </c>
      <c r="G58" s="20">
        <v>62.97</v>
      </c>
      <c r="H58" s="20">
        <v>11586.48</v>
      </c>
      <c r="I58" s="20">
        <v>3537</v>
      </c>
      <c r="J58" s="21">
        <v>0.1</v>
      </c>
    </row>
    <row r="59" spans="1:10" ht="15" thickBot="1" x14ac:dyDescent="0.35">
      <c r="A59" s="25" t="s">
        <v>177</v>
      </c>
      <c r="B59" s="22" t="s">
        <v>97</v>
      </c>
      <c r="C59" s="22" t="s">
        <v>101</v>
      </c>
      <c r="D59" s="22" t="s">
        <v>22</v>
      </c>
      <c r="E59" s="22" t="s">
        <v>108</v>
      </c>
      <c r="F59" s="22">
        <v>83</v>
      </c>
      <c r="G59" s="22">
        <v>412.06</v>
      </c>
      <c r="H59" s="22">
        <v>34200.980000000003</v>
      </c>
      <c r="I59" s="22">
        <v>15915</v>
      </c>
      <c r="J59" s="23">
        <v>7.0000000000000007E-2</v>
      </c>
    </row>
    <row r="60" spans="1:10" ht="15" thickBot="1" x14ac:dyDescent="0.35">
      <c r="A60" s="25" t="s">
        <v>178</v>
      </c>
      <c r="B60" s="20" t="s">
        <v>169</v>
      </c>
      <c r="C60" s="20" t="s">
        <v>101</v>
      </c>
      <c r="D60" s="20" t="s">
        <v>22</v>
      </c>
      <c r="E60" s="20" t="s">
        <v>108</v>
      </c>
      <c r="F60" s="20">
        <v>76</v>
      </c>
      <c r="G60" s="20">
        <v>433.53</v>
      </c>
      <c r="H60" s="20">
        <v>32948.28</v>
      </c>
      <c r="I60" s="20">
        <v>19292</v>
      </c>
      <c r="J60" s="21">
        <v>0.08</v>
      </c>
    </row>
    <row r="61" spans="1:10" ht="15" thickBot="1" x14ac:dyDescent="0.35">
      <c r="A61" s="25" t="s">
        <v>179</v>
      </c>
      <c r="B61" s="22" t="s">
        <v>91</v>
      </c>
      <c r="C61" s="22" t="s">
        <v>94</v>
      </c>
      <c r="D61" s="22" t="s">
        <v>22</v>
      </c>
      <c r="E61" s="22" t="s">
        <v>122</v>
      </c>
      <c r="F61" s="22">
        <v>142</v>
      </c>
      <c r="G61" s="22">
        <v>172.26</v>
      </c>
      <c r="H61" s="22">
        <v>24460.92</v>
      </c>
      <c r="I61" s="22">
        <v>2808</v>
      </c>
      <c r="J61" s="23">
        <v>0.05</v>
      </c>
    </row>
    <row r="62" spans="1:10" ht="15" thickBot="1" x14ac:dyDescent="0.35">
      <c r="A62" s="25" t="s">
        <v>180</v>
      </c>
      <c r="B62" s="20" t="s">
        <v>113</v>
      </c>
      <c r="C62" s="20" t="s">
        <v>19</v>
      </c>
      <c r="D62" s="20" t="s">
        <v>37</v>
      </c>
      <c r="E62" s="20" t="s">
        <v>95</v>
      </c>
      <c r="F62" s="20">
        <v>72</v>
      </c>
      <c r="G62" s="20">
        <v>28.75</v>
      </c>
      <c r="H62" s="20">
        <v>2070</v>
      </c>
      <c r="I62" s="20">
        <v>40096</v>
      </c>
      <c r="J62" s="21">
        <v>0.1</v>
      </c>
    </row>
    <row r="63" spans="1:10" ht="15" thickBot="1" x14ac:dyDescent="0.35">
      <c r="A63" s="25" t="s">
        <v>181</v>
      </c>
      <c r="B63" s="22" t="s">
        <v>129</v>
      </c>
      <c r="C63" s="22" t="s">
        <v>19</v>
      </c>
      <c r="D63" s="22" t="s">
        <v>22</v>
      </c>
      <c r="E63" s="22" t="s">
        <v>95</v>
      </c>
      <c r="F63" s="22">
        <v>135</v>
      </c>
      <c r="G63" s="22">
        <v>66.67</v>
      </c>
      <c r="H63" s="22">
        <v>9000.4500000000007</v>
      </c>
      <c r="I63" s="22">
        <v>38787</v>
      </c>
      <c r="J63" s="23">
        <v>7.0000000000000007E-2</v>
      </c>
    </row>
    <row r="64" spans="1:10" ht="15" thickBot="1" x14ac:dyDescent="0.35">
      <c r="A64" s="25" t="s">
        <v>182</v>
      </c>
      <c r="B64" s="20" t="s">
        <v>173</v>
      </c>
      <c r="C64" s="20" t="s">
        <v>16</v>
      </c>
      <c r="D64" s="20" t="s">
        <v>22</v>
      </c>
      <c r="E64" s="20" t="s">
        <v>98</v>
      </c>
      <c r="F64" s="20">
        <v>138</v>
      </c>
      <c r="G64" s="20">
        <v>463.53</v>
      </c>
      <c r="H64" s="20">
        <v>63967.14</v>
      </c>
      <c r="I64" s="20">
        <v>36287</v>
      </c>
      <c r="J64" s="21">
        <v>7.0000000000000007E-2</v>
      </c>
    </row>
    <row r="65" spans="1:10" ht="15" thickBot="1" x14ac:dyDescent="0.35">
      <c r="A65" s="25" t="s">
        <v>183</v>
      </c>
      <c r="B65" s="22" t="s">
        <v>129</v>
      </c>
      <c r="C65" s="22" t="s">
        <v>104</v>
      </c>
      <c r="D65" s="22" t="s">
        <v>10</v>
      </c>
      <c r="E65" s="22" t="s">
        <v>122</v>
      </c>
      <c r="F65" s="22">
        <v>89</v>
      </c>
      <c r="G65" s="22">
        <v>315.35000000000002</v>
      </c>
      <c r="H65" s="22">
        <v>28066.15</v>
      </c>
      <c r="I65" s="22">
        <v>44475</v>
      </c>
      <c r="J65" s="23">
        <v>0.05</v>
      </c>
    </row>
    <row r="66" spans="1:10" ht="15" thickBot="1" x14ac:dyDescent="0.35">
      <c r="A66" s="25" t="s">
        <v>184</v>
      </c>
      <c r="B66" s="20" t="s">
        <v>103</v>
      </c>
      <c r="C66" s="20" t="s">
        <v>19</v>
      </c>
      <c r="D66" s="20" t="s">
        <v>14</v>
      </c>
      <c r="E66" s="20" t="s">
        <v>105</v>
      </c>
      <c r="F66" s="20">
        <v>175</v>
      </c>
      <c r="G66" s="20">
        <v>210.11</v>
      </c>
      <c r="H66" s="20">
        <v>36769.25</v>
      </c>
      <c r="I66" s="20">
        <v>27371</v>
      </c>
      <c r="J66" s="21">
        <v>0.08</v>
      </c>
    </row>
    <row r="67" spans="1:10" ht="15" thickBot="1" x14ac:dyDescent="0.35">
      <c r="A67" s="25" t="s">
        <v>185</v>
      </c>
      <c r="B67" s="22" t="s">
        <v>110</v>
      </c>
      <c r="C67" s="22" t="s">
        <v>101</v>
      </c>
      <c r="D67" s="22" t="s">
        <v>37</v>
      </c>
      <c r="E67" s="22" t="s">
        <v>125</v>
      </c>
      <c r="F67" s="22">
        <v>175</v>
      </c>
      <c r="G67" s="22">
        <v>470.78</v>
      </c>
      <c r="H67" s="22">
        <v>82386.5</v>
      </c>
      <c r="I67" s="22">
        <v>45388</v>
      </c>
      <c r="J67" s="23">
        <v>7.0000000000000007E-2</v>
      </c>
    </row>
    <row r="68" spans="1:10" ht="15" thickBot="1" x14ac:dyDescent="0.35">
      <c r="A68" s="25" t="s">
        <v>186</v>
      </c>
      <c r="B68" s="20" t="s">
        <v>120</v>
      </c>
      <c r="C68" s="20" t="s">
        <v>94</v>
      </c>
      <c r="D68" s="20" t="s">
        <v>25</v>
      </c>
      <c r="E68" s="20" t="s">
        <v>125</v>
      </c>
      <c r="F68" s="20">
        <v>145</v>
      </c>
      <c r="G68" s="20">
        <v>418.53</v>
      </c>
      <c r="H68" s="20">
        <v>60686.85</v>
      </c>
      <c r="I68" s="20">
        <v>20914</v>
      </c>
      <c r="J68" s="21">
        <v>0.08</v>
      </c>
    </row>
    <row r="69" spans="1:10" ht="15" thickBot="1" x14ac:dyDescent="0.35">
      <c r="A69" s="25" t="s">
        <v>187</v>
      </c>
      <c r="B69" s="22" t="s">
        <v>97</v>
      </c>
      <c r="C69" s="22" t="s">
        <v>104</v>
      </c>
      <c r="D69" s="22" t="s">
        <v>14</v>
      </c>
      <c r="E69" s="22" t="s">
        <v>95</v>
      </c>
      <c r="F69" s="22">
        <v>172</v>
      </c>
      <c r="G69" s="22">
        <v>167.9</v>
      </c>
      <c r="H69" s="22">
        <v>28878.799999999999</v>
      </c>
      <c r="I69" s="22">
        <v>29952</v>
      </c>
      <c r="J69" s="23">
        <v>0.1</v>
      </c>
    </row>
    <row r="70" spans="1:10" ht="15" thickBot="1" x14ac:dyDescent="0.35">
      <c r="A70" s="25" t="s">
        <v>188</v>
      </c>
      <c r="B70" s="20" t="s">
        <v>91</v>
      </c>
      <c r="C70" s="20" t="s">
        <v>101</v>
      </c>
      <c r="D70" s="20" t="s">
        <v>14</v>
      </c>
      <c r="E70" s="20" t="s">
        <v>150</v>
      </c>
      <c r="F70" s="20">
        <v>193</v>
      </c>
      <c r="G70" s="20">
        <v>93.15</v>
      </c>
      <c r="H70" s="20">
        <v>17977.95</v>
      </c>
      <c r="I70" s="20">
        <v>6557</v>
      </c>
      <c r="J70" s="21">
        <v>0.08</v>
      </c>
    </row>
    <row r="71" spans="1:10" ht="15" thickBot="1" x14ac:dyDescent="0.35">
      <c r="A71" s="25" t="s">
        <v>189</v>
      </c>
      <c r="B71" s="22" t="s">
        <v>110</v>
      </c>
      <c r="C71" s="22" t="s">
        <v>94</v>
      </c>
      <c r="D71" s="22" t="s">
        <v>25</v>
      </c>
      <c r="E71" s="22" t="s">
        <v>111</v>
      </c>
      <c r="F71" s="22">
        <v>197</v>
      </c>
      <c r="G71" s="22">
        <v>125.09</v>
      </c>
      <c r="H71" s="22">
        <v>24642.73</v>
      </c>
      <c r="I71" s="22">
        <v>21343</v>
      </c>
      <c r="J71" s="23">
        <v>7.0000000000000007E-2</v>
      </c>
    </row>
    <row r="72" spans="1:10" ht="15" thickBot="1" x14ac:dyDescent="0.35">
      <c r="A72" s="25" t="s">
        <v>190</v>
      </c>
      <c r="B72" s="20" t="s">
        <v>116</v>
      </c>
      <c r="C72" s="20" t="s">
        <v>101</v>
      </c>
      <c r="D72" s="20" t="s">
        <v>37</v>
      </c>
      <c r="E72" s="20" t="s">
        <v>98</v>
      </c>
      <c r="F72" s="20">
        <v>16</v>
      </c>
      <c r="G72" s="20">
        <v>129.97</v>
      </c>
      <c r="H72" s="20">
        <v>2079.52</v>
      </c>
      <c r="I72" s="20">
        <v>32138</v>
      </c>
      <c r="J72" s="21">
        <v>0.12</v>
      </c>
    </row>
    <row r="73" spans="1:10" ht="15" thickBot="1" x14ac:dyDescent="0.35">
      <c r="A73" s="25" t="s">
        <v>191</v>
      </c>
      <c r="B73" s="22" t="s">
        <v>124</v>
      </c>
      <c r="C73" s="22" t="s">
        <v>16</v>
      </c>
      <c r="D73" s="22" t="s">
        <v>22</v>
      </c>
      <c r="E73" s="22" t="s">
        <v>125</v>
      </c>
      <c r="F73" s="22">
        <v>166</v>
      </c>
      <c r="G73" s="22">
        <v>292.08</v>
      </c>
      <c r="H73" s="22">
        <v>48485.279999999999</v>
      </c>
      <c r="I73" s="22">
        <v>48077</v>
      </c>
      <c r="J73" s="23">
        <v>0.1</v>
      </c>
    </row>
    <row r="74" spans="1:10" ht="15" thickBot="1" x14ac:dyDescent="0.35">
      <c r="A74" s="25" t="s">
        <v>192</v>
      </c>
      <c r="B74" s="20" t="s">
        <v>162</v>
      </c>
      <c r="C74" s="20" t="s">
        <v>104</v>
      </c>
      <c r="D74" s="20" t="s">
        <v>37</v>
      </c>
      <c r="E74" s="20" t="s">
        <v>135</v>
      </c>
      <c r="F74" s="20">
        <v>172</v>
      </c>
      <c r="G74" s="20">
        <v>346.93</v>
      </c>
      <c r="H74" s="20">
        <v>59671.96</v>
      </c>
      <c r="I74" s="20">
        <v>7985</v>
      </c>
      <c r="J74" s="21">
        <v>0.1</v>
      </c>
    </row>
    <row r="75" spans="1:10" ht="15" thickBot="1" x14ac:dyDescent="0.35">
      <c r="A75" s="25" t="s">
        <v>193</v>
      </c>
      <c r="B75" s="22" t="s">
        <v>97</v>
      </c>
      <c r="C75" s="22" t="s">
        <v>101</v>
      </c>
      <c r="D75" s="22" t="s">
        <v>14</v>
      </c>
      <c r="E75" s="22" t="s">
        <v>150</v>
      </c>
      <c r="F75" s="22">
        <v>17</v>
      </c>
      <c r="G75" s="22">
        <v>283.13</v>
      </c>
      <c r="H75" s="22">
        <v>4813.21</v>
      </c>
      <c r="I75" s="22">
        <v>8953</v>
      </c>
      <c r="J75" s="23">
        <v>0.1</v>
      </c>
    </row>
    <row r="76" spans="1:10" ht="15" thickBot="1" x14ac:dyDescent="0.35">
      <c r="A76" s="25" t="s">
        <v>194</v>
      </c>
      <c r="B76" s="20" t="s">
        <v>118</v>
      </c>
      <c r="C76" s="20" t="s">
        <v>104</v>
      </c>
      <c r="D76" s="20" t="s">
        <v>14</v>
      </c>
      <c r="E76" s="20" t="s">
        <v>130</v>
      </c>
      <c r="F76" s="20">
        <v>157</v>
      </c>
      <c r="G76" s="20">
        <v>165.48</v>
      </c>
      <c r="H76" s="20">
        <v>25980.36</v>
      </c>
      <c r="I76" s="20">
        <v>30004</v>
      </c>
      <c r="J76" s="21">
        <v>0.12</v>
      </c>
    </row>
    <row r="77" spans="1:10" ht="15" thickBot="1" x14ac:dyDescent="0.35">
      <c r="A77" s="25" t="s">
        <v>195</v>
      </c>
      <c r="B77" s="22" t="s">
        <v>124</v>
      </c>
      <c r="C77" s="22" t="s">
        <v>94</v>
      </c>
      <c r="D77" s="22" t="s">
        <v>22</v>
      </c>
      <c r="E77" s="22" t="s">
        <v>130</v>
      </c>
      <c r="F77" s="22">
        <v>119</v>
      </c>
      <c r="G77" s="22">
        <v>449.63</v>
      </c>
      <c r="H77" s="22">
        <v>53505.97</v>
      </c>
      <c r="I77" s="22">
        <v>49736</v>
      </c>
      <c r="J77" s="23">
        <v>0.1</v>
      </c>
    </row>
    <row r="78" spans="1:10" ht="15" thickBot="1" x14ac:dyDescent="0.35">
      <c r="A78" s="25" t="s">
        <v>196</v>
      </c>
      <c r="B78" s="20" t="s">
        <v>162</v>
      </c>
      <c r="C78" s="20" t="s">
        <v>19</v>
      </c>
      <c r="D78" s="20" t="s">
        <v>37</v>
      </c>
      <c r="E78" s="20" t="s">
        <v>122</v>
      </c>
      <c r="F78" s="20">
        <v>75</v>
      </c>
      <c r="G78" s="20">
        <v>385.25</v>
      </c>
      <c r="H78" s="20">
        <v>28893.75</v>
      </c>
      <c r="I78" s="20">
        <v>35163</v>
      </c>
      <c r="J78" s="21">
        <v>0.1</v>
      </c>
    </row>
    <row r="79" spans="1:10" ht="15" thickBot="1" x14ac:dyDescent="0.35">
      <c r="A79" s="25" t="s">
        <v>197</v>
      </c>
      <c r="B79" s="22" t="s">
        <v>91</v>
      </c>
      <c r="C79" s="22" t="s">
        <v>101</v>
      </c>
      <c r="D79" s="22" t="s">
        <v>25</v>
      </c>
      <c r="E79" s="22" t="s">
        <v>150</v>
      </c>
      <c r="F79" s="22">
        <v>24</v>
      </c>
      <c r="G79" s="22">
        <v>359.64</v>
      </c>
      <c r="H79" s="22">
        <v>8631.36</v>
      </c>
      <c r="I79" s="22">
        <v>16367</v>
      </c>
      <c r="J79" s="23">
        <v>0.08</v>
      </c>
    </row>
    <row r="80" spans="1:10" ht="15" thickBot="1" x14ac:dyDescent="0.35">
      <c r="A80" s="25" t="s">
        <v>198</v>
      </c>
      <c r="B80" s="20" t="s">
        <v>129</v>
      </c>
      <c r="C80" s="20" t="s">
        <v>19</v>
      </c>
      <c r="D80" s="20" t="s">
        <v>14</v>
      </c>
      <c r="E80" s="20" t="s">
        <v>111</v>
      </c>
      <c r="F80" s="20">
        <v>40</v>
      </c>
      <c r="G80" s="20">
        <v>83.91</v>
      </c>
      <c r="H80" s="20">
        <v>3356.4</v>
      </c>
      <c r="I80" s="20">
        <v>26102</v>
      </c>
      <c r="J80" s="21">
        <v>7.0000000000000007E-2</v>
      </c>
    </row>
    <row r="81" spans="1:10" ht="15" thickBot="1" x14ac:dyDescent="0.35">
      <c r="A81" s="25" t="s">
        <v>199</v>
      </c>
      <c r="B81" s="22" t="s">
        <v>103</v>
      </c>
      <c r="C81" s="22" t="s">
        <v>101</v>
      </c>
      <c r="D81" s="22" t="s">
        <v>10</v>
      </c>
      <c r="E81" s="22" t="s">
        <v>125</v>
      </c>
      <c r="F81" s="22">
        <v>109</v>
      </c>
      <c r="G81" s="22">
        <v>172.13</v>
      </c>
      <c r="H81" s="22">
        <v>18762.169999999998</v>
      </c>
      <c r="I81" s="22">
        <v>31534</v>
      </c>
      <c r="J81" s="23">
        <v>0.1</v>
      </c>
    </row>
    <row r="82" spans="1:10" ht="15" thickBot="1" x14ac:dyDescent="0.35">
      <c r="A82" s="25" t="s">
        <v>200</v>
      </c>
      <c r="B82" s="20" t="s">
        <v>169</v>
      </c>
      <c r="C82" s="20" t="s">
        <v>101</v>
      </c>
      <c r="D82" s="20" t="s">
        <v>22</v>
      </c>
      <c r="E82" s="20" t="s">
        <v>125</v>
      </c>
      <c r="F82" s="20">
        <v>154</v>
      </c>
      <c r="G82" s="20">
        <v>473.57</v>
      </c>
      <c r="H82" s="20">
        <v>72929.78</v>
      </c>
      <c r="I82" s="20">
        <v>2280</v>
      </c>
      <c r="J82" s="21">
        <v>0.12</v>
      </c>
    </row>
    <row r="83" spans="1:10" ht="15" thickBot="1" x14ac:dyDescent="0.35">
      <c r="A83" s="25" t="s">
        <v>201</v>
      </c>
      <c r="B83" s="22" t="s">
        <v>100</v>
      </c>
      <c r="C83" s="22" t="s">
        <v>104</v>
      </c>
      <c r="D83" s="22" t="s">
        <v>10</v>
      </c>
      <c r="E83" s="22" t="s">
        <v>108</v>
      </c>
      <c r="F83" s="22">
        <v>81</v>
      </c>
      <c r="G83" s="22">
        <v>379.2</v>
      </c>
      <c r="H83" s="22">
        <v>30715.200000000001</v>
      </c>
      <c r="I83" s="22">
        <v>28460</v>
      </c>
      <c r="J83" s="23">
        <v>0.12</v>
      </c>
    </row>
    <row r="84" spans="1:10" ht="15" thickBot="1" x14ac:dyDescent="0.35">
      <c r="A84" s="25" t="s">
        <v>202</v>
      </c>
      <c r="B84" s="20" t="s">
        <v>103</v>
      </c>
      <c r="C84" s="20" t="s">
        <v>94</v>
      </c>
      <c r="D84" s="20" t="s">
        <v>14</v>
      </c>
      <c r="E84" s="20" t="s">
        <v>114</v>
      </c>
      <c r="F84" s="20">
        <v>129</v>
      </c>
      <c r="G84" s="20">
        <v>117.52</v>
      </c>
      <c r="H84" s="20">
        <v>15160.08</v>
      </c>
      <c r="I84" s="20">
        <v>29562</v>
      </c>
      <c r="J84" s="21">
        <v>0.1</v>
      </c>
    </row>
    <row r="85" spans="1:10" ht="15" thickBot="1" x14ac:dyDescent="0.35">
      <c r="A85" s="25" t="s">
        <v>203</v>
      </c>
      <c r="B85" s="22" t="s">
        <v>169</v>
      </c>
      <c r="C85" s="22" t="s">
        <v>104</v>
      </c>
      <c r="D85" s="22" t="s">
        <v>25</v>
      </c>
      <c r="E85" s="22" t="s">
        <v>122</v>
      </c>
      <c r="F85" s="22">
        <v>178</v>
      </c>
      <c r="G85" s="22">
        <v>401.09</v>
      </c>
      <c r="H85" s="22">
        <v>71394.02</v>
      </c>
      <c r="I85" s="22">
        <v>48459</v>
      </c>
      <c r="J85" s="23">
        <v>7.0000000000000007E-2</v>
      </c>
    </row>
    <row r="86" spans="1:10" ht="15" thickBot="1" x14ac:dyDescent="0.35">
      <c r="A86" s="25" t="s">
        <v>204</v>
      </c>
      <c r="B86" s="20" t="s">
        <v>124</v>
      </c>
      <c r="C86" s="20" t="s">
        <v>104</v>
      </c>
      <c r="D86" s="20" t="s">
        <v>37</v>
      </c>
      <c r="E86" s="20" t="s">
        <v>95</v>
      </c>
      <c r="F86" s="20">
        <v>141</v>
      </c>
      <c r="G86" s="20">
        <v>23.21</v>
      </c>
      <c r="H86" s="20">
        <v>3272.61</v>
      </c>
      <c r="I86" s="20">
        <v>26822</v>
      </c>
      <c r="J86" s="21">
        <v>0.12</v>
      </c>
    </row>
    <row r="87" spans="1:10" ht="15" thickBot="1" x14ac:dyDescent="0.35">
      <c r="A87" s="25" t="s">
        <v>205</v>
      </c>
      <c r="B87" s="22" t="s">
        <v>120</v>
      </c>
      <c r="C87" s="22" t="s">
        <v>16</v>
      </c>
      <c r="D87" s="22" t="s">
        <v>10</v>
      </c>
      <c r="E87" s="22" t="s">
        <v>122</v>
      </c>
      <c r="F87" s="22">
        <v>114</v>
      </c>
      <c r="G87" s="22">
        <v>76.489999999999995</v>
      </c>
      <c r="H87" s="22">
        <v>8719.86</v>
      </c>
      <c r="I87" s="22">
        <v>31257</v>
      </c>
      <c r="J87" s="23">
        <v>7.0000000000000007E-2</v>
      </c>
    </row>
    <row r="88" spans="1:10" ht="15" thickBot="1" x14ac:dyDescent="0.35">
      <c r="A88" s="25" t="s">
        <v>206</v>
      </c>
      <c r="B88" s="20" t="s">
        <v>169</v>
      </c>
      <c r="C88" s="20" t="s">
        <v>19</v>
      </c>
      <c r="D88" s="20" t="s">
        <v>22</v>
      </c>
      <c r="E88" s="20" t="s">
        <v>108</v>
      </c>
      <c r="F88" s="20">
        <v>59</v>
      </c>
      <c r="G88" s="20">
        <v>232.8</v>
      </c>
      <c r="H88" s="20">
        <v>13735.2</v>
      </c>
      <c r="I88" s="20">
        <v>23118</v>
      </c>
      <c r="J88" s="21">
        <v>0.1</v>
      </c>
    </row>
    <row r="89" spans="1:10" ht="15" thickBot="1" x14ac:dyDescent="0.35">
      <c r="A89" s="25" t="s">
        <v>207</v>
      </c>
      <c r="B89" s="22" t="s">
        <v>173</v>
      </c>
      <c r="C89" s="22" t="s">
        <v>104</v>
      </c>
      <c r="D89" s="22" t="s">
        <v>25</v>
      </c>
      <c r="E89" s="22" t="s">
        <v>111</v>
      </c>
      <c r="F89" s="22">
        <v>125</v>
      </c>
      <c r="G89" s="22">
        <v>19.5</v>
      </c>
      <c r="H89" s="22">
        <v>2437.5</v>
      </c>
      <c r="I89" s="22">
        <v>36351</v>
      </c>
      <c r="J89" s="23">
        <v>0.05</v>
      </c>
    </row>
    <row r="90" spans="1:10" ht="15" thickBot="1" x14ac:dyDescent="0.35">
      <c r="A90" s="25" t="s">
        <v>208</v>
      </c>
      <c r="B90" s="20" t="s">
        <v>129</v>
      </c>
      <c r="C90" s="20" t="s">
        <v>101</v>
      </c>
      <c r="D90" s="20" t="s">
        <v>10</v>
      </c>
      <c r="E90" s="20" t="s">
        <v>122</v>
      </c>
      <c r="F90" s="20">
        <v>15</v>
      </c>
      <c r="G90" s="20">
        <v>379.57</v>
      </c>
      <c r="H90" s="20">
        <v>5693.55</v>
      </c>
      <c r="I90" s="20">
        <v>17205</v>
      </c>
      <c r="J90" s="21">
        <v>7.0000000000000007E-2</v>
      </c>
    </row>
    <row r="91" spans="1:10" ht="15" thickBot="1" x14ac:dyDescent="0.35">
      <c r="A91" s="25" t="s">
        <v>209</v>
      </c>
      <c r="B91" s="22" t="s">
        <v>124</v>
      </c>
      <c r="C91" s="22" t="s">
        <v>16</v>
      </c>
      <c r="D91" s="22" t="s">
        <v>14</v>
      </c>
      <c r="E91" s="22" t="s">
        <v>135</v>
      </c>
      <c r="F91" s="22">
        <v>66</v>
      </c>
      <c r="G91" s="22">
        <v>71.849999999999994</v>
      </c>
      <c r="H91" s="22">
        <v>4742.1000000000004</v>
      </c>
      <c r="I91" s="22">
        <v>44873</v>
      </c>
      <c r="J91" s="23">
        <v>0.05</v>
      </c>
    </row>
    <row r="92" spans="1:10" ht="15" thickBot="1" x14ac:dyDescent="0.35">
      <c r="A92" s="25" t="s">
        <v>210</v>
      </c>
      <c r="B92" s="20" t="s">
        <v>120</v>
      </c>
      <c r="C92" s="20" t="s">
        <v>101</v>
      </c>
      <c r="D92" s="20" t="s">
        <v>22</v>
      </c>
      <c r="E92" s="20" t="s">
        <v>92</v>
      </c>
      <c r="F92" s="20">
        <v>70</v>
      </c>
      <c r="G92" s="20">
        <v>385.78</v>
      </c>
      <c r="H92" s="20">
        <v>27004.6</v>
      </c>
      <c r="I92" s="20">
        <v>11996</v>
      </c>
      <c r="J92" s="21">
        <v>0.12</v>
      </c>
    </row>
    <row r="93" spans="1:10" ht="15" thickBot="1" x14ac:dyDescent="0.35">
      <c r="A93" s="25" t="s">
        <v>211</v>
      </c>
      <c r="B93" s="22" t="s">
        <v>120</v>
      </c>
      <c r="C93" s="22" t="s">
        <v>16</v>
      </c>
      <c r="D93" s="22" t="s">
        <v>37</v>
      </c>
      <c r="E93" s="22" t="s">
        <v>105</v>
      </c>
      <c r="F93" s="22">
        <v>32</v>
      </c>
      <c r="G93" s="22">
        <v>293.56</v>
      </c>
      <c r="H93" s="22">
        <v>9393.92</v>
      </c>
      <c r="I93" s="22">
        <v>21444</v>
      </c>
      <c r="J93" s="23">
        <v>0.12</v>
      </c>
    </row>
    <row r="94" spans="1:10" ht="15" thickBot="1" x14ac:dyDescent="0.35">
      <c r="A94" s="25" t="s">
        <v>212</v>
      </c>
      <c r="B94" s="20" t="s">
        <v>91</v>
      </c>
      <c r="C94" s="20" t="s">
        <v>104</v>
      </c>
      <c r="D94" s="20" t="s">
        <v>22</v>
      </c>
      <c r="E94" s="20" t="s">
        <v>92</v>
      </c>
      <c r="F94" s="20">
        <v>55</v>
      </c>
      <c r="G94" s="20">
        <v>47.24</v>
      </c>
      <c r="H94" s="20">
        <v>2598.1999999999998</v>
      </c>
      <c r="I94" s="20">
        <v>46260</v>
      </c>
      <c r="J94" s="21">
        <v>7.0000000000000007E-2</v>
      </c>
    </row>
    <row r="95" spans="1:10" ht="15" thickBot="1" x14ac:dyDescent="0.35">
      <c r="A95" s="25" t="s">
        <v>213</v>
      </c>
      <c r="B95" s="22" t="s">
        <v>107</v>
      </c>
      <c r="C95" s="22" t="s">
        <v>19</v>
      </c>
      <c r="D95" s="22" t="s">
        <v>14</v>
      </c>
      <c r="E95" s="22" t="s">
        <v>111</v>
      </c>
      <c r="F95" s="22">
        <v>149</v>
      </c>
      <c r="G95" s="22">
        <v>393.49</v>
      </c>
      <c r="H95" s="22">
        <v>58630.01</v>
      </c>
      <c r="I95" s="22">
        <v>23754</v>
      </c>
      <c r="J95" s="23">
        <v>0.12</v>
      </c>
    </row>
    <row r="96" spans="1:10" ht="15" thickBot="1" x14ac:dyDescent="0.35">
      <c r="A96" s="25" t="s">
        <v>214</v>
      </c>
      <c r="B96" s="20" t="s">
        <v>100</v>
      </c>
      <c r="C96" s="20" t="s">
        <v>19</v>
      </c>
      <c r="D96" s="20" t="s">
        <v>10</v>
      </c>
      <c r="E96" s="20" t="s">
        <v>130</v>
      </c>
      <c r="F96" s="20">
        <v>170</v>
      </c>
      <c r="G96" s="20">
        <v>177.2</v>
      </c>
      <c r="H96" s="20">
        <v>30124</v>
      </c>
      <c r="I96" s="20">
        <v>28528</v>
      </c>
      <c r="J96" s="21">
        <v>0.1</v>
      </c>
    </row>
    <row r="97" spans="1:10" ht="15" thickBot="1" x14ac:dyDescent="0.35">
      <c r="A97" s="25" t="s">
        <v>215</v>
      </c>
      <c r="B97" s="22" t="s">
        <v>107</v>
      </c>
      <c r="C97" s="22" t="s">
        <v>104</v>
      </c>
      <c r="D97" s="22" t="s">
        <v>25</v>
      </c>
      <c r="E97" s="22" t="s">
        <v>122</v>
      </c>
      <c r="F97" s="22">
        <v>122</v>
      </c>
      <c r="G97" s="22">
        <v>356.58</v>
      </c>
      <c r="H97" s="22">
        <v>43502.76</v>
      </c>
      <c r="I97" s="22">
        <v>29540</v>
      </c>
      <c r="J97" s="23">
        <v>7.0000000000000007E-2</v>
      </c>
    </row>
    <row r="98" spans="1:10" ht="15" thickBot="1" x14ac:dyDescent="0.35">
      <c r="A98" s="25" t="s">
        <v>216</v>
      </c>
      <c r="B98" s="20" t="s">
        <v>103</v>
      </c>
      <c r="C98" s="20" t="s">
        <v>94</v>
      </c>
      <c r="D98" s="20" t="s">
        <v>25</v>
      </c>
      <c r="E98" s="20" t="s">
        <v>95</v>
      </c>
      <c r="F98" s="20">
        <v>142</v>
      </c>
      <c r="G98" s="20">
        <v>389.57</v>
      </c>
      <c r="H98" s="20">
        <v>55318.94</v>
      </c>
      <c r="I98" s="20">
        <v>31465</v>
      </c>
      <c r="J98" s="21">
        <v>0.1</v>
      </c>
    </row>
    <row r="99" spans="1:10" ht="15" thickBot="1" x14ac:dyDescent="0.35">
      <c r="A99" s="25" t="s">
        <v>217</v>
      </c>
      <c r="B99" s="22" t="s">
        <v>124</v>
      </c>
      <c r="C99" s="22" t="s">
        <v>94</v>
      </c>
      <c r="D99" s="22" t="s">
        <v>25</v>
      </c>
      <c r="E99" s="22" t="s">
        <v>108</v>
      </c>
      <c r="F99" s="22">
        <v>67</v>
      </c>
      <c r="G99" s="22">
        <v>417.06</v>
      </c>
      <c r="H99" s="22">
        <v>27943.02</v>
      </c>
      <c r="I99" s="22">
        <v>6679</v>
      </c>
      <c r="J99" s="23">
        <v>0.08</v>
      </c>
    </row>
    <row r="100" spans="1:10" ht="15" thickBot="1" x14ac:dyDescent="0.35">
      <c r="A100" s="25" t="s">
        <v>218</v>
      </c>
      <c r="B100" s="20" t="s">
        <v>113</v>
      </c>
      <c r="C100" s="20" t="s">
        <v>104</v>
      </c>
      <c r="D100" s="20" t="s">
        <v>37</v>
      </c>
      <c r="E100" s="20" t="s">
        <v>150</v>
      </c>
      <c r="F100" s="20">
        <v>150</v>
      </c>
      <c r="G100" s="20">
        <v>309.06</v>
      </c>
      <c r="H100" s="20">
        <v>46359</v>
      </c>
      <c r="I100" s="20">
        <v>25837</v>
      </c>
      <c r="J100" s="21">
        <v>0.08</v>
      </c>
    </row>
    <row r="101" spans="1:10" ht="15" thickBot="1" x14ac:dyDescent="0.35">
      <c r="A101" s="25" t="s">
        <v>219</v>
      </c>
      <c r="B101" s="22" t="s">
        <v>169</v>
      </c>
      <c r="C101" s="22" t="s">
        <v>104</v>
      </c>
      <c r="D101" s="22" t="s">
        <v>25</v>
      </c>
      <c r="E101" s="22" t="s">
        <v>135</v>
      </c>
      <c r="F101" s="22">
        <v>129</v>
      </c>
      <c r="G101" s="22">
        <v>113.94</v>
      </c>
      <c r="H101" s="22">
        <v>14698.26</v>
      </c>
      <c r="I101" s="22">
        <v>17931</v>
      </c>
      <c r="J101" s="23">
        <v>0.08</v>
      </c>
    </row>
    <row r="102" spans="1:10" ht="15" thickBot="1" x14ac:dyDescent="0.35">
      <c r="A102" s="25" t="s">
        <v>220</v>
      </c>
      <c r="B102" s="20" t="s">
        <v>173</v>
      </c>
      <c r="C102" s="20" t="s">
        <v>94</v>
      </c>
      <c r="D102" s="20" t="s">
        <v>25</v>
      </c>
      <c r="E102" s="20" t="s">
        <v>130</v>
      </c>
      <c r="F102" s="20">
        <v>7</v>
      </c>
      <c r="G102" s="20">
        <v>263.14999999999998</v>
      </c>
      <c r="H102" s="20">
        <v>1842.05</v>
      </c>
      <c r="I102" s="20">
        <v>13521</v>
      </c>
      <c r="J102" s="21">
        <v>0.05</v>
      </c>
    </row>
    <row r="103" spans="1:10" ht="15" thickBot="1" x14ac:dyDescent="0.35">
      <c r="A103" s="25" t="s">
        <v>221</v>
      </c>
      <c r="B103" s="22" t="s">
        <v>97</v>
      </c>
      <c r="C103" s="22" t="s">
        <v>104</v>
      </c>
      <c r="D103" s="22" t="s">
        <v>22</v>
      </c>
      <c r="E103" s="22" t="s">
        <v>130</v>
      </c>
      <c r="F103" s="22">
        <v>199</v>
      </c>
      <c r="G103" s="22">
        <v>127.76</v>
      </c>
      <c r="H103" s="22">
        <v>25424.240000000002</v>
      </c>
      <c r="I103" s="22">
        <v>32201</v>
      </c>
      <c r="J103" s="23">
        <v>0.1</v>
      </c>
    </row>
    <row r="104" spans="1:10" ht="15" thickBot="1" x14ac:dyDescent="0.35">
      <c r="A104" s="25" t="s">
        <v>222</v>
      </c>
      <c r="B104" s="20" t="s">
        <v>162</v>
      </c>
      <c r="C104" s="20" t="s">
        <v>16</v>
      </c>
      <c r="D104" s="20" t="s">
        <v>10</v>
      </c>
      <c r="E104" s="20" t="s">
        <v>105</v>
      </c>
      <c r="F104" s="20">
        <v>61</v>
      </c>
      <c r="G104" s="20">
        <v>208.16</v>
      </c>
      <c r="H104" s="20">
        <v>12697.76</v>
      </c>
      <c r="I104" s="20">
        <v>16945</v>
      </c>
      <c r="J104" s="21">
        <v>0.08</v>
      </c>
    </row>
    <row r="105" spans="1:10" ht="15" thickBot="1" x14ac:dyDescent="0.35">
      <c r="A105" s="25" t="s">
        <v>223</v>
      </c>
      <c r="B105" s="22" t="s">
        <v>91</v>
      </c>
      <c r="C105" s="22" t="s">
        <v>94</v>
      </c>
      <c r="D105" s="22" t="s">
        <v>25</v>
      </c>
      <c r="E105" s="22" t="s">
        <v>150</v>
      </c>
      <c r="F105" s="22">
        <v>146</v>
      </c>
      <c r="G105" s="22">
        <v>270.14999999999998</v>
      </c>
      <c r="H105" s="22">
        <v>39441.9</v>
      </c>
      <c r="I105" s="22">
        <v>28885</v>
      </c>
      <c r="J105" s="23">
        <v>0.12</v>
      </c>
    </row>
    <row r="106" spans="1:10" ht="15" thickBot="1" x14ac:dyDescent="0.35">
      <c r="A106" s="25" t="s">
        <v>224</v>
      </c>
      <c r="B106" s="20" t="s">
        <v>129</v>
      </c>
      <c r="C106" s="20" t="s">
        <v>19</v>
      </c>
      <c r="D106" s="20" t="s">
        <v>22</v>
      </c>
      <c r="E106" s="20" t="s">
        <v>105</v>
      </c>
      <c r="F106" s="20">
        <v>83</v>
      </c>
      <c r="G106" s="20">
        <v>133.19</v>
      </c>
      <c r="H106" s="20">
        <v>11054.77</v>
      </c>
      <c r="I106" s="20">
        <v>8907</v>
      </c>
      <c r="J106" s="21">
        <v>7.0000000000000007E-2</v>
      </c>
    </row>
    <row r="107" spans="1:10" ht="15" thickBot="1" x14ac:dyDescent="0.35">
      <c r="A107" s="25" t="s">
        <v>225</v>
      </c>
      <c r="B107" s="22" t="s">
        <v>129</v>
      </c>
      <c r="C107" s="22" t="s">
        <v>16</v>
      </c>
      <c r="D107" s="22" t="s">
        <v>14</v>
      </c>
      <c r="E107" s="22" t="s">
        <v>92</v>
      </c>
      <c r="F107" s="22">
        <v>52</v>
      </c>
      <c r="G107" s="22">
        <v>103.86</v>
      </c>
      <c r="H107" s="22">
        <v>5400.72</v>
      </c>
      <c r="I107" s="22">
        <v>49405</v>
      </c>
      <c r="J107" s="23">
        <v>0.1</v>
      </c>
    </row>
    <row r="108" spans="1:10" ht="15" thickBot="1" x14ac:dyDescent="0.35">
      <c r="A108" s="25" t="s">
        <v>226</v>
      </c>
      <c r="B108" s="20" t="s">
        <v>173</v>
      </c>
      <c r="C108" s="20" t="s">
        <v>94</v>
      </c>
      <c r="D108" s="20" t="s">
        <v>14</v>
      </c>
      <c r="E108" s="20" t="s">
        <v>95</v>
      </c>
      <c r="F108" s="20">
        <v>77</v>
      </c>
      <c r="G108" s="20">
        <v>490.45</v>
      </c>
      <c r="H108" s="20">
        <v>37764.65</v>
      </c>
      <c r="I108" s="20">
        <v>13721</v>
      </c>
      <c r="J108" s="21">
        <v>0.08</v>
      </c>
    </row>
    <row r="109" spans="1:10" ht="15" thickBot="1" x14ac:dyDescent="0.35">
      <c r="A109" s="25" t="s">
        <v>227</v>
      </c>
      <c r="B109" s="22" t="s">
        <v>97</v>
      </c>
      <c r="C109" s="22" t="s">
        <v>19</v>
      </c>
      <c r="D109" s="22" t="s">
        <v>37</v>
      </c>
      <c r="E109" s="22" t="s">
        <v>105</v>
      </c>
      <c r="F109" s="22">
        <v>8</v>
      </c>
      <c r="G109" s="22">
        <v>356.93</v>
      </c>
      <c r="H109" s="22">
        <v>2855.44</v>
      </c>
      <c r="I109" s="22">
        <v>9295</v>
      </c>
      <c r="J109" s="23">
        <v>0.08</v>
      </c>
    </row>
    <row r="110" spans="1:10" ht="15" thickBot="1" x14ac:dyDescent="0.35">
      <c r="A110" s="25" t="s">
        <v>228</v>
      </c>
      <c r="B110" s="20" t="s">
        <v>169</v>
      </c>
      <c r="C110" s="20" t="s">
        <v>16</v>
      </c>
      <c r="D110" s="20" t="s">
        <v>14</v>
      </c>
      <c r="E110" s="20" t="s">
        <v>105</v>
      </c>
      <c r="F110" s="20">
        <v>183</v>
      </c>
      <c r="G110" s="20">
        <v>472.6</v>
      </c>
      <c r="H110" s="20">
        <v>86485.8</v>
      </c>
      <c r="I110" s="20">
        <v>42803</v>
      </c>
      <c r="J110" s="21">
        <v>0.1</v>
      </c>
    </row>
    <row r="111" spans="1:10" ht="15" thickBot="1" x14ac:dyDescent="0.35">
      <c r="A111" s="25" t="s">
        <v>229</v>
      </c>
      <c r="B111" s="22" t="s">
        <v>107</v>
      </c>
      <c r="C111" s="22" t="s">
        <v>16</v>
      </c>
      <c r="D111" s="22" t="s">
        <v>14</v>
      </c>
      <c r="E111" s="22" t="s">
        <v>105</v>
      </c>
      <c r="F111" s="22">
        <v>125</v>
      </c>
      <c r="G111" s="22">
        <v>244.57</v>
      </c>
      <c r="H111" s="22">
        <v>30571.25</v>
      </c>
      <c r="I111" s="22">
        <v>23328</v>
      </c>
      <c r="J111" s="23">
        <v>7.0000000000000007E-2</v>
      </c>
    </row>
    <row r="112" spans="1:10" ht="15" thickBot="1" x14ac:dyDescent="0.35">
      <c r="A112" s="25" t="s">
        <v>230</v>
      </c>
      <c r="B112" s="20" t="s">
        <v>169</v>
      </c>
      <c r="C112" s="20" t="s">
        <v>19</v>
      </c>
      <c r="D112" s="20" t="s">
        <v>22</v>
      </c>
      <c r="E112" s="20" t="s">
        <v>111</v>
      </c>
      <c r="F112" s="20">
        <v>21</v>
      </c>
      <c r="G112" s="20">
        <v>206.35</v>
      </c>
      <c r="H112" s="20">
        <v>4333.3500000000004</v>
      </c>
      <c r="I112" s="20">
        <v>5855</v>
      </c>
      <c r="J112" s="21">
        <v>0.12</v>
      </c>
    </row>
    <row r="113" spans="1:10" ht="15" thickBot="1" x14ac:dyDescent="0.35">
      <c r="A113" s="25" t="s">
        <v>231</v>
      </c>
      <c r="B113" s="22" t="s">
        <v>91</v>
      </c>
      <c r="C113" s="22" t="s">
        <v>16</v>
      </c>
      <c r="D113" s="22" t="s">
        <v>37</v>
      </c>
      <c r="E113" s="22" t="s">
        <v>135</v>
      </c>
      <c r="F113" s="22">
        <v>149</v>
      </c>
      <c r="G113" s="22">
        <v>475.07</v>
      </c>
      <c r="H113" s="22">
        <v>70785.429999999993</v>
      </c>
      <c r="I113" s="22">
        <v>6582</v>
      </c>
      <c r="J113" s="23">
        <v>7.0000000000000007E-2</v>
      </c>
    </row>
    <row r="114" spans="1:10" ht="15" thickBot="1" x14ac:dyDescent="0.35">
      <c r="A114" s="25" t="s">
        <v>232</v>
      </c>
      <c r="B114" s="20" t="s">
        <v>107</v>
      </c>
      <c r="C114" s="20" t="s">
        <v>94</v>
      </c>
      <c r="D114" s="20" t="s">
        <v>22</v>
      </c>
      <c r="E114" s="20" t="s">
        <v>95</v>
      </c>
      <c r="F114" s="20">
        <v>157</v>
      </c>
      <c r="G114" s="20">
        <v>397.46</v>
      </c>
      <c r="H114" s="20">
        <v>62401.22</v>
      </c>
      <c r="I114" s="20">
        <v>15790</v>
      </c>
      <c r="J114" s="21">
        <v>0.12</v>
      </c>
    </row>
    <row r="115" spans="1:10" ht="15" thickBot="1" x14ac:dyDescent="0.35">
      <c r="A115" s="25" t="s">
        <v>233</v>
      </c>
      <c r="B115" s="22" t="s">
        <v>100</v>
      </c>
      <c r="C115" s="22" t="s">
        <v>104</v>
      </c>
      <c r="D115" s="22" t="s">
        <v>22</v>
      </c>
      <c r="E115" s="22" t="s">
        <v>105</v>
      </c>
      <c r="F115" s="22">
        <v>155</v>
      </c>
      <c r="G115" s="22">
        <v>495.12</v>
      </c>
      <c r="H115" s="22">
        <v>76743.600000000006</v>
      </c>
      <c r="I115" s="22">
        <v>21013</v>
      </c>
      <c r="J115" s="23">
        <v>0.12</v>
      </c>
    </row>
    <row r="116" spans="1:10" ht="15" thickBot="1" x14ac:dyDescent="0.35">
      <c r="A116" s="25" t="s">
        <v>234</v>
      </c>
      <c r="B116" s="20" t="s">
        <v>120</v>
      </c>
      <c r="C116" s="20" t="s">
        <v>16</v>
      </c>
      <c r="D116" s="20" t="s">
        <v>14</v>
      </c>
      <c r="E116" s="20" t="s">
        <v>92</v>
      </c>
      <c r="F116" s="20">
        <v>30</v>
      </c>
      <c r="G116" s="20">
        <v>474.32</v>
      </c>
      <c r="H116" s="20">
        <v>14229.6</v>
      </c>
      <c r="I116" s="20">
        <v>14617</v>
      </c>
      <c r="J116" s="21">
        <v>7.0000000000000007E-2</v>
      </c>
    </row>
    <row r="117" spans="1:10" ht="15" thickBot="1" x14ac:dyDescent="0.35">
      <c r="A117" s="25" t="s">
        <v>235</v>
      </c>
      <c r="B117" s="22" t="s">
        <v>173</v>
      </c>
      <c r="C117" s="22" t="s">
        <v>16</v>
      </c>
      <c r="D117" s="22" t="s">
        <v>37</v>
      </c>
      <c r="E117" s="22" t="s">
        <v>114</v>
      </c>
      <c r="F117" s="22">
        <v>49</v>
      </c>
      <c r="G117" s="22">
        <v>280.48</v>
      </c>
      <c r="H117" s="22">
        <v>13743.52</v>
      </c>
      <c r="I117" s="22">
        <v>11258</v>
      </c>
      <c r="J117" s="23">
        <v>0.05</v>
      </c>
    </row>
    <row r="118" spans="1:10" ht="15" thickBot="1" x14ac:dyDescent="0.35">
      <c r="A118" s="25" t="s">
        <v>236</v>
      </c>
      <c r="B118" s="20" t="s">
        <v>100</v>
      </c>
      <c r="C118" s="20" t="s">
        <v>104</v>
      </c>
      <c r="D118" s="20" t="s">
        <v>14</v>
      </c>
      <c r="E118" s="20" t="s">
        <v>150</v>
      </c>
      <c r="F118" s="20">
        <v>79</v>
      </c>
      <c r="G118" s="20">
        <v>25.99</v>
      </c>
      <c r="H118" s="20">
        <v>2053.21</v>
      </c>
      <c r="I118" s="20">
        <v>19881</v>
      </c>
      <c r="J118" s="21">
        <v>0.08</v>
      </c>
    </row>
    <row r="119" spans="1:10" ht="15" thickBot="1" x14ac:dyDescent="0.35">
      <c r="A119" s="25" t="s">
        <v>237</v>
      </c>
      <c r="B119" s="22" t="s">
        <v>103</v>
      </c>
      <c r="C119" s="22" t="s">
        <v>104</v>
      </c>
      <c r="D119" s="22" t="s">
        <v>10</v>
      </c>
      <c r="E119" s="22" t="s">
        <v>122</v>
      </c>
      <c r="F119" s="22">
        <v>64</v>
      </c>
      <c r="G119" s="22">
        <v>462.72</v>
      </c>
      <c r="H119" s="22">
        <v>29614.080000000002</v>
      </c>
      <c r="I119" s="22">
        <v>41963</v>
      </c>
      <c r="J119" s="23">
        <v>0.12</v>
      </c>
    </row>
    <row r="120" spans="1:10" ht="15" thickBot="1" x14ac:dyDescent="0.35">
      <c r="A120" s="25" t="s">
        <v>238</v>
      </c>
      <c r="B120" s="20" t="s">
        <v>91</v>
      </c>
      <c r="C120" s="20" t="s">
        <v>101</v>
      </c>
      <c r="D120" s="20" t="s">
        <v>22</v>
      </c>
      <c r="E120" s="20" t="s">
        <v>111</v>
      </c>
      <c r="F120" s="20">
        <v>144</v>
      </c>
      <c r="G120" s="20">
        <v>120.16</v>
      </c>
      <c r="H120" s="20">
        <v>17303.04</v>
      </c>
      <c r="I120" s="20">
        <v>10764</v>
      </c>
      <c r="J120" s="21">
        <v>0.08</v>
      </c>
    </row>
    <row r="121" spans="1:10" ht="15" thickBot="1" x14ac:dyDescent="0.35">
      <c r="A121" s="25" t="s">
        <v>239</v>
      </c>
      <c r="B121" s="22" t="s">
        <v>124</v>
      </c>
      <c r="C121" s="22" t="s">
        <v>101</v>
      </c>
      <c r="D121" s="22" t="s">
        <v>10</v>
      </c>
      <c r="E121" s="22" t="s">
        <v>98</v>
      </c>
      <c r="F121" s="22">
        <v>47</v>
      </c>
      <c r="G121" s="22">
        <v>398.39</v>
      </c>
      <c r="H121" s="22">
        <v>18724.330000000002</v>
      </c>
      <c r="I121" s="22">
        <v>39996</v>
      </c>
      <c r="J121" s="23">
        <v>0.12</v>
      </c>
    </row>
    <row r="122" spans="1:10" ht="15" thickBot="1" x14ac:dyDescent="0.35">
      <c r="A122" s="25" t="s">
        <v>240</v>
      </c>
      <c r="B122" s="20" t="s">
        <v>113</v>
      </c>
      <c r="C122" s="20" t="s">
        <v>19</v>
      </c>
      <c r="D122" s="20" t="s">
        <v>22</v>
      </c>
      <c r="E122" s="20" t="s">
        <v>111</v>
      </c>
      <c r="F122" s="20">
        <v>124</v>
      </c>
      <c r="G122" s="20">
        <v>347.45</v>
      </c>
      <c r="H122" s="20">
        <v>43083.8</v>
      </c>
      <c r="I122" s="20">
        <v>46857</v>
      </c>
      <c r="J122" s="21">
        <v>0.1</v>
      </c>
    </row>
    <row r="123" spans="1:10" ht="15" thickBot="1" x14ac:dyDescent="0.35">
      <c r="A123" s="25" t="s">
        <v>241</v>
      </c>
      <c r="B123" s="22" t="s">
        <v>173</v>
      </c>
      <c r="C123" s="22" t="s">
        <v>94</v>
      </c>
      <c r="D123" s="22" t="s">
        <v>14</v>
      </c>
      <c r="E123" s="22" t="s">
        <v>150</v>
      </c>
      <c r="F123" s="22">
        <v>117</v>
      </c>
      <c r="G123" s="22">
        <v>49.42</v>
      </c>
      <c r="H123" s="22">
        <v>5782.14</v>
      </c>
      <c r="I123" s="22">
        <v>3612</v>
      </c>
      <c r="J123" s="23">
        <v>0.1</v>
      </c>
    </row>
    <row r="124" spans="1:10" ht="15" thickBot="1" x14ac:dyDescent="0.35">
      <c r="A124" s="25" t="s">
        <v>242</v>
      </c>
      <c r="B124" s="20" t="s">
        <v>103</v>
      </c>
      <c r="C124" s="20" t="s">
        <v>19</v>
      </c>
      <c r="D124" s="20" t="s">
        <v>14</v>
      </c>
      <c r="E124" s="20" t="s">
        <v>105</v>
      </c>
      <c r="F124" s="20">
        <v>11</v>
      </c>
      <c r="G124" s="20">
        <v>54.75</v>
      </c>
      <c r="H124" s="20">
        <v>602.25</v>
      </c>
      <c r="I124" s="20">
        <v>45190</v>
      </c>
      <c r="J124" s="21">
        <v>0.12</v>
      </c>
    </row>
    <row r="125" spans="1:10" ht="15" thickBot="1" x14ac:dyDescent="0.35">
      <c r="A125" s="25" t="s">
        <v>243</v>
      </c>
      <c r="B125" s="22" t="s">
        <v>120</v>
      </c>
      <c r="C125" s="22" t="s">
        <v>16</v>
      </c>
      <c r="D125" s="22" t="s">
        <v>25</v>
      </c>
      <c r="E125" s="22" t="s">
        <v>95</v>
      </c>
      <c r="F125" s="22">
        <v>15</v>
      </c>
      <c r="G125" s="22">
        <v>383.92</v>
      </c>
      <c r="H125" s="22">
        <v>5758.8</v>
      </c>
      <c r="I125" s="22">
        <v>12481</v>
      </c>
      <c r="J125" s="23">
        <v>0.1</v>
      </c>
    </row>
    <row r="126" spans="1:10" ht="15" thickBot="1" x14ac:dyDescent="0.35">
      <c r="A126" s="25" t="s">
        <v>244</v>
      </c>
      <c r="B126" s="20" t="s">
        <v>110</v>
      </c>
      <c r="C126" s="20" t="s">
        <v>104</v>
      </c>
      <c r="D126" s="20" t="s">
        <v>25</v>
      </c>
      <c r="E126" s="20" t="s">
        <v>135</v>
      </c>
      <c r="F126" s="20">
        <v>154</v>
      </c>
      <c r="G126" s="20">
        <v>223.58</v>
      </c>
      <c r="H126" s="20">
        <v>34431.32</v>
      </c>
      <c r="I126" s="20">
        <v>33225</v>
      </c>
      <c r="J126" s="21">
        <v>0.05</v>
      </c>
    </row>
    <row r="127" spans="1:10" ht="15" thickBot="1" x14ac:dyDescent="0.35">
      <c r="A127" s="25" t="s">
        <v>245</v>
      </c>
      <c r="B127" s="22" t="s">
        <v>162</v>
      </c>
      <c r="C127" s="22" t="s">
        <v>19</v>
      </c>
      <c r="D127" s="22" t="s">
        <v>22</v>
      </c>
      <c r="E127" s="22" t="s">
        <v>108</v>
      </c>
      <c r="F127" s="22">
        <v>87</v>
      </c>
      <c r="G127" s="22">
        <v>338.37</v>
      </c>
      <c r="H127" s="22">
        <v>29438.19</v>
      </c>
      <c r="I127" s="22">
        <v>11539</v>
      </c>
      <c r="J127" s="23">
        <v>0.08</v>
      </c>
    </row>
    <row r="128" spans="1:10" ht="15" thickBot="1" x14ac:dyDescent="0.35">
      <c r="A128" s="25" t="s">
        <v>246</v>
      </c>
      <c r="B128" s="20" t="s">
        <v>100</v>
      </c>
      <c r="C128" s="20" t="s">
        <v>104</v>
      </c>
      <c r="D128" s="20" t="s">
        <v>25</v>
      </c>
      <c r="E128" s="20" t="s">
        <v>122</v>
      </c>
      <c r="F128" s="20">
        <v>107</v>
      </c>
      <c r="G128" s="20">
        <v>408.65</v>
      </c>
      <c r="H128" s="20">
        <v>43725.55</v>
      </c>
      <c r="I128" s="20">
        <v>37051</v>
      </c>
      <c r="J128" s="21">
        <v>0.05</v>
      </c>
    </row>
    <row r="129" spans="1:10" ht="15" thickBot="1" x14ac:dyDescent="0.35">
      <c r="A129" s="25" t="s">
        <v>247</v>
      </c>
      <c r="B129" s="22" t="s">
        <v>162</v>
      </c>
      <c r="C129" s="22" t="s">
        <v>16</v>
      </c>
      <c r="D129" s="22" t="s">
        <v>25</v>
      </c>
      <c r="E129" s="22" t="s">
        <v>105</v>
      </c>
      <c r="F129" s="22">
        <v>87</v>
      </c>
      <c r="G129" s="22">
        <v>66.8</v>
      </c>
      <c r="H129" s="22">
        <v>5811.6</v>
      </c>
      <c r="I129" s="22">
        <v>27488</v>
      </c>
      <c r="J129" s="23">
        <v>0.12</v>
      </c>
    </row>
    <row r="130" spans="1:10" ht="15" thickBot="1" x14ac:dyDescent="0.35">
      <c r="A130" s="25" t="s">
        <v>248</v>
      </c>
      <c r="B130" s="20" t="s">
        <v>124</v>
      </c>
      <c r="C130" s="20" t="s">
        <v>16</v>
      </c>
      <c r="D130" s="20" t="s">
        <v>14</v>
      </c>
      <c r="E130" s="20" t="s">
        <v>150</v>
      </c>
      <c r="F130" s="20">
        <v>110</v>
      </c>
      <c r="G130" s="20">
        <v>36.56</v>
      </c>
      <c r="H130" s="20">
        <v>4021.6</v>
      </c>
      <c r="I130" s="20">
        <v>34976</v>
      </c>
      <c r="J130" s="21">
        <v>0.08</v>
      </c>
    </row>
    <row r="131" spans="1:10" ht="15" thickBot="1" x14ac:dyDescent="0.35">
      <c r="A131" s="25" t="s">
        <v>249</v>
      </c>
      <c r="B131" s="22" t="s">
        <v>120</v>
      </c>
      <c r="C131" s="22" t="s">
        <v>104</v>
      </c>
      <c r="D131" s="22" t="s">
        <v>22</v>
      </c>
      <c r="E131" s="22" t="s">
        <v>98</v>
      </c>
      <c r="F131" s="22">
        <v>57</v>
      </c>
      <c r="G131" s="22">
        <v>140.86000000000001</v>
      </c>
      <c r="H131" s="22">
        <v>8029.02</v>
      </c>
      <c r="I131" s="22">
        <v>9586</v>
      </c>
      <c r="J131" s="23">
        <v>0.08</v>
      </c>
    </row>
    <row r="132" spans="1:10" ht="15" thickBot="1" x14ac:dyDescent="0.35">
      <c r="A132" s="25" t="s">
        <v>250</v>
      </c>
      <c r="B132" s="20" t="s">
        <v>162</v>
      </c>
      <c r="C132" s="20" t="s">
        <v>104</v>
      </c>
      <c r="D132" s="20" t="s">
        <v>10</v>
      </c>
      <c r="E132" s="20" t="s">
        <v>98</v>
      </c>
      <c r="F132" s="20">
        <v>166</v>
      </c>
      <c r="G132" s="20">
        <v>308.35000000000002</v>
      </c>
      <c r="H132" s="20">
        <v>51186.1</v>
      </c>
      <c r="I132" s="20">
        <v>16682</v>
      </c>
      <c r="J132" s="21">
        <v>7.0000000000000007E-2</v>
      </c>
    </row>
    <row r="133" spans="1:10" ht="15" thickBot="1" x14ac:dyDescent="0.35">
      <c r="A133" s="25" t="s">
        <v>251</v>
      </c>
      <c r="B133" s="22" t="s">
        <v>173</v>
      </c>
      <c r="C133" s="22" t="s">
        <v>94</v>
      </c>
      <c r="D133" s="22" t="s">
        <v>10</v>
      </c>
      <c r="E133" s="22" t="s">
        <v>130</v>
      </c>
      <c r="F133" s="22">
        <v>109</v>
      </c>
      <c r="G133" s="22">
        <v>55.67</v>
      </c>
      <c r="H133" s="22">
        <v>6068.03</v>
      </c>
      <c r="I133" s="22">
        <v>8435</v>
      </c>
      <c r="J133" s="23">
        <v>0.1</v>
      </c>
    </row>
    <row r="134" spans="1:10" ht="15" thickBot="1" x14ac:dyDescent="0.35">
      <c r="A134" s="25" t="s">
        <v>252</v>
      </c>
      <c r="B134" s="20" t="s">
        <v>107</v>
      </c>
      <c r="C134" s="20" t="s">
        <v>101</v>
      </c>
      <c r="D134" s="20" t="s">
        <v>22</v>
      </c>
      <c r="E134" s="20" t="s">
        <v>92</v>
      </c>
      <c r="F134" s="20">
        <v>79</v>
      </c>
      <c r="G134" s="20">
        <v>259.35000000000002</v>
      </c>
      <c r="H134" s="20">
        <v>20488.650000000001</v>
      </c>
      <c r="I134" s="20">
        <v>18919</v>
      </c>
      <c r="J134" s="21">
        <v>0.1</v>
      </c>
    </row>
    <row r="135" spans="1:10" ht="15" thickBot="1" x14ac:dyDescent="0.35">
      <c r="A135" s="25" t="s">
        <v>253</v>
      </c>
      <c r="B135" s="22" t="s">
        <v>124</v>
      </c>
      <c r="C135" s="22" t="s">
        <v>104</v>
      </c>
      <c r="D135" s="22" t="s">
        <v>22</v>
      </c>
      <c r="E135" s="22" t="s">
        <v>114</v>
      </c>
      <c r="F135" s="22">
        <v>121</v>
      </c>
      <c r="G135" s="22">
        <v>280.12</v>
      </c>
      <c r="H135" s="22">
        <v>33894.519999999997</v>
      </c>
      <c r="I135" s="22">
        <v>26138</v>
      </c>
      <c r="J135" s="23">
        <v>7.0000000000000007E-2</v>
      </c>
    </row>
    <row r="136" spans="1:10" ht="15" thickBot="1" x14ac:dyDescent="0.35">
      <c r="A136" s="25" t="s">
        <v>254</v>
      </c>
      <c r="B136" s="20" t="s">
        <v>113</v>
      </c>
      <c r="C136" s="20" t="s">
        <v>94</v>
      </c>
      <c r="D136" s="20" t="s">
        <v>14</v>
      </c>
      <c r="E136" s="20" t="s">
        <v>92</v>
      </c>
      <c r="F136" s="20">
        <v>39</v>
      </c>
      <c r="G136" s="20">
        <v>433.37</v>
      </c>
      <c r="H136" s="20">
        <v>16901.43</v>
      </c>
      <c r="I136" s="20">
        <v>19104</v>
      </c>
      <c r="J136" s="21">
        <v>0.1</v>
      </c>
    </row>
    <row r="137" spans="1:10" ht="15" thickBot="1" x14ac:dyDescent="0.35">
      <c r="A137" s="25" t="s">
        <v>255</v>
      </c>
      <c r="B137" s="22" t="s">
        <v>129</v>
      </c>
      <c r="C137" s="22" t="s">
        <v>94</v>
      </c>
      <c r="D137" s="22" t="s">
        <v>25</v>
      </c>
      <c r="E137" s="22" t="s">
        <v>98</v>
      </c>
      <c r="F137" s="22">
        <v>77</v>
      </c>
      <c r="G137" s="22">
        <v>365.76</v>
      </c>
      <c r="H137" s="22">
        <v>28163.52</v>
      </c>
      <c r="I137" s="22">
        <v>39465</v>
      </c>
      <c r="J137" s="23">
        <v>0.12</v>
      </c>
    </row>
    <row r="138" spans="1:10" ht="15" thickBot="1" x14ac:dyDescent="0.35">
      <c r="A138" s="25" t="s">
        <v>256</v>
      </c>
      <c r="B138" s="20" t="s">
        <v>91</v>
      </c>
      <c r="C138" s="20" t="s">
        <v>104</v>
      </c>
      <c r="D138" s="20" t="s">
        <v>37</v>
      </c>
      <c r="E138" s="20" t="s">
        <v>150</v>
      </c>
      <c r="F138" s="20">
        <v>142</v>
      </c>
      <c r="G138" s="20">
        <v>247.33</v>
      </c>
      <c r="H138" s="20">
        <v>35120.86</v>
      </c>
      <c r="I138" s="20">
        <v>22786</v>
      </c>
      <c r="J138" s="21">
        <v>0.12</v>
      </c>
    </row>
    <row r="139" spans="1:10" ht="15" thickBot="1" x14ac:dyDescent="0.35">
      <c r="A139" s="25" t="s">
        <v>257</v>
      </c>
      <c r="B139" s="22" t="s">
        <v>116</v>
      </c>
      <c r="C139" s="22" t="s">
        <v>94</v>
      </c>
      <c r="D139" s="22" t="s">
        <v>22</v>
      </c>
      <c r="E139" s="22" t="s">
        <v>150</v>
      </c>
      <c r="F139" s="22">
        <v>87</v>
      </c>
      <c r="G139" s="22">
        <v>436.1</v>
      </c>
      <c r="H139" s="22">
        <v>37940.699999999997</v>
      </c>
      <c r="I139" s="22">
        <v>46711</v>
      </c>
      <c r="J139" s="23">
        <v>7.0000000000000007E-2</v>
      </c>
    </row>
    <row r="140" spans="1:10" ht="15" thickBot="1" x14ac:dyDescent="0.35">
      <c r="A140" s="25" t="s">
        <v>258</v>
      </c>
      <c r="B140" s="20" t="s">
        <v>120</v>
      </c>
      <c r="C140" s="20" t="s">
        <v>104</v>
      </c>
      <c r="D140" s="20" t="s">
        <v>37</v>
      </c>
      <c r="E140" s="20" t="s">
        <v>125</v>
      </c>
      <c r="F140" s="20">
        <v>16</v>
      </c>
      <c r="G140" s="20">
        <v>165.91</v>
      </c>
      <c r="H140" s="20">
        <v>2654.56</v>
      </c>
      <c r="I140" s="20">
        <v>31996</v>
      </c>
      <c r="J140" s="21">
        <v>0.1</v>
      </c>
    </row>
    <row r="141" spans="1:10" ht="15" thickBot="1" x14ac:dyDescent="0.35">
      <c r="A141" s="25" t="s">
        <v>259</v>
      </c>
      <c r="B141" s="22" t="s">
        <v>100</v>
      </c>
      <c r="C141" s="22" t="s">
        <v>101</v>
      </c>
      <c r="D141" s="22" t="s">
        <v>22</v>
      </c>
      <c r="E141" s="22" t="s">
        <v>98</v>
      </c>
      <c r="F141" s="22">
        <v>37</v>
      </c>
      <c r="G141" s="22">
        <v>256.12</v>
      </c>
      <c r="H141" s="22">
        <v>9476.44</v>
      </c>
      <c r="I141" s="22">
        <v>39678</v>
      </c>
      <c r="J141" s="23">
        <v>0.08</v>
      </c>
    </row>
    <row r="142" spans="1:10" ht="15" thickBot="1" x14ac:dyDescent="0.35">
      <c r="A142" s="25" t="s">
        <v>260</v>
      </c>
      <c r="B142" s="20" t="s">
        <v>124</v>
      </c>
      <c r="C142" s="20" t="s">
        <v>16</v>
      </c>
      <c r="D142" s="20" t="s">
        <v>22</v>
      </c>
      <c r="E142" s="20" t="s">
        <v>111</v>
      </c>
      <c r="F142" s="20">
        <v>139</v>
      </c>
      <c r="G142" s="20">
        <v>456.12</v>
      </c>
      <c r="H142" s="20">
        <v>63400.68</v>
      </c>
      <c r="I142" s="20">
        <v>2005</v>
      </c>
      <c r="J142" s="21">
        <v>7.0000000000000007E-2</v>
      </c>
    </row>
    <row r="143" spans="1:10" ht="15" thickBot="1" x14ac:dyDescent="0.35">
      <c r="A143" s="25" t="s">
        <v>261</v>
      </c>
      <c r="B143" s="22" t="s">
        <v>100</v>
      </c>
      <c r="C143" s="22" t="s">
        <v>101</v>
      </c>
      <c r="D143" s="22" t="s">
        <v>10</v>
      </c>
      <c r="E143" s="22" t="s">
        <v>150</v>
      </c>
      <c r="F143" s="22">
        <v>72</v>
      </c>
      <c r="G143" s="22">
        <v>175.9</v>
      </c>
      <c r="H143" s="22">
        <v>12664.8</v>
      </c>
      <c r="I143" s="22">
        <v>46397</v>
      </c>
      <c r="J143" s="23">
        <v>0.1</v>
      </c>
    </row>
    <row r="144" spans="1:10" ht="15" thickBot="1" x14ac:dyDescent="0.35">
      <c r="A144" s="25" t="s">
        <v>262</v>
      </c>
      <c r="B144" s="20" t="s">
        <v>91</v>
      </c>
      <c r="C144" s="20" t="s">
        <v>16</v>
      </c>
      <c r="D144" s="20" t="s">
        <v>25</v>
      </c>
      <c r="E144" s="20" t="s">
        <v>122</v>
      </c>
      <c r="F144" s="20">
        <v>141</v>
      </c>
      <c r="G144" s="20">
        <v>196.2</v>
      </c>
      <c r="H144" s="20">
        <v>27664.2</v>
      </c>
      <c r="I144" s="20">
        <v>21752</v>
      </c>
      <c r="J144" s="21">
        <v>0.1</v>
      </c>
    </row>
    <row r="145" spans="1:10" ht="15" thickBot="1" x14ac:dyDescent="0.35">
      <c r="A145" s="25" t="s">
        <v>263</v>
      </c>
      <c r="B145" s="22" t="s">
        <v>124</v>
      </c>
      <c r="C145" s="22" t="s">
        <v>94</v>
      </c>
      <c r="D145" s="22" t="s">
        <v>10</v>
      </c>
      <c r="E145" s="22" t="s">
        <v>95</v>
      </c>
      <c r="F145" s="22">
        <v>22</v>
      </c>
      <c r="G145" s="22">
        <v>125.04</v>
      </c>
      <c r="H145" s="22">
        <v>2750.88</v>
      </c>
      <c r="I145" s="22">
        <v>45852</v>
      </c>
      <c r="J145" s="23">
        <v>0.08</v>
      </c>
    </row>
    <row r="146" spans="1:10" ht="15" thickBot="1" x14ac:dyDescent="0.35">
      <c r="A146" s="25" t="s">
        <v>264</v>
      </c>
      <c r="B146" s="20" t="s">
        <v>97</v>
      </c>
      <c r="C146" s="20" t="s">
        <v>16</v>
      </c>
      <c r="D146" s="20" t="s">
        <v>22</v>
      </c>
      <c r="E146" s="20" t="s">
        <v>111</v>
      </c>
      <c r="F146" s="20">
        <v>199</v>
      </c>
      <c r="G146" s="20">
        <v>320.54000000000002</v>
      </c>
      <c r="H146" s="20">
        <v>63787.46</v>
      </c>
      <c r="I146" s="20">
        <v>7586</v>
      </c>
      <c r="J146" s="21">
        <v>0.1</v>
      </c>
    </row>
    <row r="147" spans="1:10" ht="15" thickBot="1" x14ac:dyDescent="0.35">
      <c r="A147" s="25" t="s">
        <v>265</v>
      </c>
      <c r="B147" s="22" t="s">
        <v>118</v>
      </c>
      <c r="C147" s="22" t="s">
        <v>19</v>
      </c>
      <c r="D147" s="22" t="s">
        <v>10</v>
      </c>
      <c r="E147" s="22" t="s">
        <v>98</v>
      </c>
      <c r="F147" s="22">
        <v>88</v>
      </c>
      <c r="G147" s="22">
        <v>400.11</v>
      </c>
      <c r="H147" s="22">
        <v>35209.68</v>
      </c>
      <c r="I147" s="22">
        <v>20226</v>
      </c>
      <c r="J147" s="23">
        <v>0.08</v>
      </c>
    </row>
    <row r="148" spans="1:10" ht="15" thickBot="1" x14ac:dyDescent="0.35">
      <c r="A148" s="25" t="s">
        <v>266</v>
      </c>
      <c r="B148" s="20" t="s">
        <v>129</v>
      </c>
      <c r="C148" s="20" t="s">
        <v>104</v>
      </c>
      <c r="D148" s="20" t="s">
        <v>37</v>
      </c>
      <c r="E148" s="20" t="s">
        <v>114</v>
      </c>
      <c r="F148" s="20">
        <v>140</v>
      </c>
      <c r="G148" s="20">
        <v>211.91</v>
      </c>
      <c r="H148" s="20">
        <v>29667.4</v>
      </c>
      <c r="I148" s="20">
        <v>45682</v>
      </c>
      <c r="J148" s="21">
        <v>7.0000000000000007E-2</v>
      </c>
    </row>
    <row r="149" spans="1:10" ht="15" thickBot="1" x14ac:dyDescent="0.35">
      <c r="A149" s="25" t="s">
        <v>267</v>
      </c>
      <c r="B149" s="22" t="s">
        <v>118</v>
      </c>
      <c r="C149" s="22" t="s">
        <v>101</v>
      </c>
      <c r="D149" s="22" t="s">
        <v>10</v>
      </c>
      <c r="E149" s="22" t="s">
        <v>95</v>
      </c>
      <c r="F149" s="22">
        <v>102</v>
      </c>
      <c r="G149" s="22">
        <v>313.66000000000003</v>
      </c>
      <c r="H149" s="22">
        <v>31993.32</v>
      </c>
      <c r="I149" s="22">
        <v>16783</v>
      </c>
      <c r="J149" s="23">
        <v>0.1</v>
      </c>
    </row>
    <row r="150" spans="1:10" ht="15" thickBot="1" x14ac:dyDescent="0.35">
      <c r="A150" s="25" t="s">
        <v>268</v>
      </c>
      <c r="B150" s="20" t="s">
        <v>113</v>
      </c>
      <c r="C150" s="20" t="s">
        <v>94</v>
      </c>
      <c r="D150" s="20" t="s">
        <v>37</v>
      </c>
      <c r="E150" s="20" t="s">
        <v>114</v>
      </c>
      <c r="F150" s="20">
        <v>123</v>
      </c>
      <c r="G150" s="20">
        <v>322.57</v>
      </c>
      <c r="H150" s="20">
        <v>39676.11</v>
      </c>
      <c r="I150" s="20">
        <v>31118</v>
      </c>
      <c r="J150" s="21">
        <v>0.08</v>
      </c>
    </row>
    <row r="151" spans="1:10" ht="15" thickBot="1" x14ac:dyDescent="0.35">
      <c r="A151" s="25" t="s">
        <v>269</v>
      </c>
      <c r="B151" s="22" t="s">
        <v>91</v>
      </c>
      <c r="C151" s="22" t="s">
        <v>16</v>
      </c>
      <c r="D151" s="22" t="s">
        <v>22</v>
      </c>
      <c r="E151" s="22" t="s">
        <v>105</v>
      </c>
      <c r="F151" s="22">
        <v>178</v>
      </c>
      <c r="G151" s="22">
        <v>277.83</v>
      </c>
      <c r="H151" s="22">
        <v>49453.74</v>
      </c>
      <c r="I151" s="22">
        <v>5840</v>
      </c>
      <c r="J151" s="23">
        <v>0.1</v>
      </c>
    </row>
    <row r="152" spans="1:10" ht="15" thickBot="1" x14ac:dyDescent="0.35">
      <c r="A152" s="25" t="s">
        <v>270</v>
      </c>
      <c r="B152" s="20" t="s">
        <v>129</v>
      </c>
      <c r="C152" s="20" t="s">
        <v>94</v>
      </c>
      <c r="D152" s="20" t="s">
        <v>25</v>
      </c>
      <c r="E152" s="20" t="s">
        <v>122</v>
      </c>
      <c r="F152" s="20">
        <v>113</v>
      </c>
      <c r="G152" s="20">
        <v>348.25</v>
      </c>
      <c r="H152" s="20">
        <v>39352.25</v>
      </c>
      <c r="I152" s="20">
        <v>30939</v>
      </c>
      <c r="J152" s="21">
        <v>0.08</v>
      </c>
    </row>
    <row r="153" spans="1:10" ht="15" thickBot="1" x14ac:dyDescent="0.35">
      <c r="A153" s="25" t="s">
        <v>271</v>
      </c>
      <c r="B153" s="22" t="s">
        <v>97</v>
      </c>
      <c r="C153" s="22" t="s">
        <v>104</v>
      </c>
      <c r="D153" s="22" t="s">
        <v>22</v>
      </c>
      <c r="E153" s="22" t="s">
        <v>111</v>
      </c>
      <c r="F153" s="22">
        <v>65</v>
      </c>
      <c r="G153" s="22">
        <v>196.87</v>
      </c>
      <c r="H153" s="22">
        <v>12796.55</v>
      </c>
      <c r="I153" s="22">
        <v>24524</v>
      </c>
      <c r="J153" s="23">
        <v>0.12</v>
      </c>
    </row>
    <row r="154" spans="1:10" ht="15" thickBot="1" x14ac:dyDescent="0.35">
      <c r="A154" s="25" t="s">
        <v>272</v>
      </c>
      <c r="B154" s="20" t="s">
        <v>173</v>
      </c>
      <c r="C154" s="20" t="s">
        <v>19</v>
      </c>
      <c r="D154" s="20" t="s">
        <v>10</v>
      </c>
      <c r="E154" s="20" t="s">
        <v>122</v>
      </c>
      <c r="F154" s="20">
        <v>106</v>
      </c>
      <c r="G154" s="20">
        <v>144.5</v>
      </c>
      <c r="H154" s="20">
        <v>15317</v>
      </c>
      <c r="I154" s="20">
        <v>38088</v>
      </c>
      <c r="J154" s="21">
        <v>0.05</v>
      </c>
    </row>
    <row r="155" spans="1:10" ht="15" thickBot="1" x14ac:dyDescent="0.35">
      <c r="A155" s="25" t="s">
        <v>273</v>
      </c>
      <c r="B155" s="22" t="s">
        <v>113</v>
      </c>
      <c r="C155" s="22" t="s">
        <v>94</v>
      </c>
      <c r="D155" s="22" t="s">
        <v>22</v>
      </c>
      <c r="E155" s="22" t="s">
        <v>105</v>
      </c>
      <c r="F155" s="22">
        <v>63</v>
      </c>
      <c r="G155" s="22">
        <v>307.45999999999998</v>
      </c>
      <c r="H155" s="22">
        <v>19369.98</v>
      </c>
      <c r="I155" s="22">
        <v>24089</v>
      </c>
      <c r="J155" s="23">
        <v>7.0000000000000007E-2</v>
      </c>
    </row>
    <row r="156" spans="1:10" ht="15" thickBot="1" x14ac:dyDescent="0.35">
      <c r="A156" s="25" t="s">
        <v>274</v>
      </c>
      <c r="B156" s="20" t="s">
        <v>91</v>
      </c>
      <c r="C156" s="20" t="s">
        <v>101</v>
      </c>
      <c r="D156" s="20" t="s">
        <v>14</v>
      </c>
      <c r="E156" s="20" t="s">
        <v>105</v>
      </c>
      <c r="F156" s="20">
        <v>178</v>
      </c>
      <c r="G156" s="20">
        <v>380.23</v>
      </c>
      <c r="H156" s="20">
        <v>67680.94</v>
      </c>
      <c r="I156" s="20">
        <v>44200</v>
      </c>
      <c r="J156" s="21">
        <v>7.0000000000000007E-2</v>
      </c>
    </row>
    <row r="157" spans="1:10" ht="15" thickBot="1" x14ac:dyDescent="0.35">
      <c r="A157" s="25" t="s">
        <v>275</v>
      </c>
      <c r="B157" s="22" t="s">
        <v>91</v>
      </c>
      <c r="C157" s="22" t="s">
        <v>16</v>
      </c>
      <c r="D157" s="22" t="s">
        <v>10</v>
      </c>
      <c r="E157" s="22" t="s">
        <v>105</v>
      </c>
      <c r="F157" s="22">
        <v>117</v>
      </c>
      <c r="G157" s="22">
        <v>26.35</v>
      </c>
      <c r="H157" s="22">
        <v>3082.95</v>
      </c>
      <c r="I157" s="22">
        <v>24911</v>
      </c>
      <c r="J157" s="23">
        <v>7.0000000000000007E-2</v>
      </c>
    </row>
    <row r="158" spans="1:10" ht="15" thickBot="1" x14ac:dyDescent="0.35">
      <c r="A158" s="25" t="s">
        <v>276</v>
      </c>
      <c r="B158" s="20" t="s">
        <v>107</v>
      </c>
      <c r="C158" s="20" t="s">
        <v>19</v>
      </c>
      <c r="D158" s="20" t="s">
        <v>25</v>
      </c>
      <c r="E158" s="20" t="s">
        <v>92</v>
      </c>
      <c r="F158" s="20">
        <v>111</v>
      </c>
      <c r="G158" s="20">
        <v>96.06</v>
      </c>
      <c r="H158" s="20">
        <v>10662.66</v>
      </c>
      <c r="I158" s="20">
        <v>9661</v>
      </c>
      <c r="J158" s="21">
        <v>0.12</v>
      </c>
    </row>
    <row r="159" spans="1:10" ht="15" thickBot="1" x14ac:dyDescent="0.35">
      <c r="A159" s="25" t="s">
        <v>277</v>
      </c>
      <c r="B159" s="22" t="s">
        <v>113</v>
      </c>
      <c r="C159" s="22" t="s">
        <v>19</v>
      </c>
      <c r="D159" s="22" t="s">
        <v>14</v>
      </c>
      <c r="E159" s="22" t="s">
        <v>130</v>
      </c>
      <c r="F159" s="22">
        <v>74</v>
      </c>
      <c r="G159" s="22">
        <v>416.93</v>
      </c>
      <c r="H159" s="22">
        <v>30852.82</v>
      </c>
      <c r="I159" s="22">
        <v>17840</v>
      </c>
      <c r="J159" s="23">
        <v>0.1</v>
      </c>
    </row>
    <row r="160" spans="1:10" ht="15" thickBot="1" x14ac:dyDescent="0.35">
      <c r="A160" s="25" t="s">
        <v>278</v>
      </c>
      <c r="B160" s="20" t="s">
        <v>116</v>
      </c>
      <c r="C160" s="20" t="s">
        <v>19</v>
      </c>
      <c r="D160" s="20" t="s">
        <v>25</v>
      </c>
      <c r="E160" s="20" t="s">
        <v>111</v>
      </c>
      <c r="F160" s="20">
        <v>124</v>
      </c>
      <c r="G160" s="20">
        <v>481.82</v>
      </c>
      <c r="H160" s="20">
        <v>59745.68</v>
      </c>
      <c r="I160" s="20">
        <v>10224</v>
      </c>
      <c r="J160" s="21">
        <v>7.0000000000000007E-2</v>
      </c>
    </row>
    <row r="161" spans="1:10" ht="15" thickBot="1" x14ac:dyDescent="0.35">
      <c r="A161" s="25" t="s">
        <v>279</v>
      </c>
      <c r="B161" s="22" t="s">
        <v>124</v>
      </c>
      <c r="C161" s="22" t="s">
        <v>104</v>
      </c>
      <c r="D161" s="22" t="s">
        <v>14</v>
      </c>
      <c r="E161" s="22" t="s">
        <v>108</v>
      </c>
      <c r="F161" s="22">
        <v>28</v>
      </c>
      <c r="G161" s="22">
        <v>397.43</v>
      </c>
      <c r="H161" s="22">
        <v>11128.04</v>
      </c>
      <c r="I161" s="22">
        <v>1912</v>
      </c>
      <c r="J161" s="23">
        <v>0.08</v>
      </c>
    </row>
    <row r="162" spans="1:10" ht="15" thickBot="1" x14ac:dyDescent="0.35">
      <c r="A162" s="25" t="s">
        <v>280</v>
      </c>
      <c r="B162" s="20" t="s">
        <v>110</v>
      </c>
      <c r="C162" s="20" t="s">
        <v>16</v>
      </c>
      <c r="D162" s="20" t="s">
        <v>22</v>
      </c>
      <c r="E162" s="20" t="s">
        <v>108</v>
      </c>
      <c r="F162" s="20">
        <v>177</v>
      </c>
      <c r="G162" s="20">
        <v>377.02</v>
      </c>
      <c r="H162" s="20">
        <v>66732.539999999994</v>
      </c>
      <c r="I162" s="20">
        <v>18181</v>
      </c>
      <c r="J162" s="21">
        <v>0.12</v>
      </c>
    </row>
    <row r="163" spans="1:10" ht="15" thickBot="1" x14ac:dyDescent="0.35">
      <c r="A163" s="25" t="s">
        <v>281</v>
      </c>
      <c r="B163" s="22" t="s">
        <v>100</v>
      </c>
      <c r="C163" s="22" t="s">
        <v>19</v>
      </c>
      <c r="D163" s="22" t="s">
        <v>10</v>
      </c>
      <c r="E163" s="22" t="s">
        <v>122</v>
      </c>
      <c r="F163" s="22">
        <v>64</v>
      </c>
      <c r="G163" s="22">
        <v>241.02</v>
      </c>
      <c r="H163" s="22">
        <v>15425.28</v>
      </c>
      <c r="I163" s="22">
        <v>41602</v>
      </c>
      <c r="J163" s="23">
        <v>0.12</v>
      </c>
    </row>
    <row r="164" spans="1:10" ht="15" thickBot="1" x14ac:dyDescent="0.35">
      <c r="A164" s="25" t="s">
        <v>282</v>
      </c>
      <c r="B164" s="20" t="s">
        <v>129</v>
      </c>
      <c r="C164" s="20" t="s">
        <v>94</v>
      </c>
      <c r="D164" s="20" t="s">
        <v>37</v>
      </c>
      <c r="E164" s="20" t="s">
        <v>122</v>
      </c>
      <c r="F164" s="20">
        <v>21</v>
      </c>
      <c r="G164" s="20">
        <v>321.35000000000002</v>
      </c>
      <c r="H164" s="20">
        <v>6748.35</v>
      </c>
      <c r="I164" s="20">
        <v>31426</v>
      </c>
      <c r="J164" s="21">
        <v>0.08</v>
      </c>
    </row>
    <row r="165" spans="1:10" ht="15" thickBot="1" x14ac:dyDescent="0.35">
      <c r="A165" s="25" t="s">
        <v>283</v>
      </c>
      <c r="B165" s="22" t="s">
        <v>91</v>
      </c>
      <c r="C165" s="22" t="s">
        <v>104</v>
      </c>
      <c r="D165" s="22" t="s">
        <v>10</v>
      </c>
      <c r="E165" s="22" t="s">
        <v>135</v>
      </c>
      <c r="F165" s="22">
        <v>16</v>
      </c>
      <c r="G165" s="22">
        <v>473.67</v>
      </c>
      <c r="H165" s="22">
        <v>7578.72</v>
      </c>
      <c r="I165" s="22">
        <v>20946</v>
      </c>
      <c r="J165" s="23">
        <v>0.1</v>
      </c>
    </row>
    <row r="166" spans="1:10" ht="15" thickBot="1" x14ac:dyDescent="0.35">
      <c r="A166" s="25" t="s">
        <v>284</v>
      </c>
      <c r="B166" s="20" t="s">
        <v>107</v>
      </c>
      <c r="C166" s="20" t="s">
        <v>16</v>
      </c>
      <c r="D166" s="20" t="s">
        <v>37</v>
      </c>
      <c r="E166" s="20" t="s">
        <v>130</v>
      </c>
      <c r="F166" s="20">
        <v>39</v>
      </c>
      <c r="G166" s="20">
        <v>200.44</v>
      </c>
      <c r="H166" s="20">
        <v>7817.16</v>
      </c>
      <c r="I166" s="20">
        <v>25314</v>
      </c>
      <c r="J166" s="21">
        <v>0.12</v>
      </c>
    </row>
    <row r="167" spans="1:10" ht="15" thickBot="1" x14ac:dyDescent="0.35">
      <c r="A167" s="25" t="s">
        <v>285</v>
      </c>
      <c r="B167" s="22" t="s">
        <v>100</v>
      </c>
      <c r="C167" s="22" t="s">
        <v>94</v>
      </c>
      <c r="D167" s="22" t="s">
        <v>37</v>
      </c>
      <c r="E167" s="22" t="s">
        <v>125</v>
      </c>
      <c r="F167" s="22">
        <v>172</v>
      </c>
      <c r="G167" s="22">
        <v>58.52</v>
      </c>
      <c r="H167" s="22">
        <v>10065.44</v>
      </c>
      <c r="I167" s="22">
        <v>33069</v>
      </c>
      <c r="J167" s="23">
        <v>0.12</v>
      </c>
    </row>
    <row r="168" spans="1:10" ht="15" thickBot="1" x14ac:dyDescent="0.35">
      <c r="A168" s="25" t="s">
        <v>286</v>
      </c>
      <c r="B168" s="20" t="s">
        <v>100</v>
      </c>
      <c r="C168" s="20" t="s">
        <v>19</v>
      </c>
      <c r="D168" s="20" t="s">
        <v>10</v>
      </c>
      <c r="E168" s="20" t="s">
        <v>92</v>
      </c>
      <c r="F168" s="20">
        <v>99</v>
      </c>
      <c r="G168" s="20">
        <v>116.46</v>
      </c>
      <c r="H168" s="20">
        <v>11529.54</v>
      </c>
      <c r="I168" s="20">
        <v>30143</v>
      </c>
      <c r="J168" s="21">
        <v>7.0000000000000007E-2</v>
      </c>
    </row>
    <row r="169" spans="1:10" ht="15" thickBot="1" x14ac:dyDescent="0.35">
      <c r="A169" s="25" t="s">
        <v>287</v>
      </c>
      <c r="B169" s="22" t="s">
        <v>124</v>
      </c>
      <c r="C169" s="22" t="s">
        <v>19</v>
      </c>
      <c r="D169" s="22" t="s">
        <v>10</v>
      </c>
      <c r="E169" s="22" t="s">
        <v>122</v>
      </c>
      <c r="F169" s="22">
        <v>99</v>
      </c>
      <c r="G169" s="22">
        <v>276.79000000000002</v>
      </c>
      <c r="H169" s="22">
        <v>27402.21</v>
      </c>
      <c r="I169" s="22">
        <v>43259</v>
      </c>
      <c r="J169" s="23">
        <v>0.08</v>
      </c>
    </row>
    <row r="170" spans="1:10" ht="15" thickBot="1" x14ac:dyDescent="0.35">
      <c r="A170" s="25" t="s">
        <v>288</v>
      </c>
      <c r="B170" s="20" t="s">
        <v>169</v>
      </c>
      <c r="C170" s="20" t="s">
        <v>104</v>
      </c>
      <c r="D170" s="20" t="s">
        <v>25</v>
      </c>
      <c r="E170" s="20" t="s">
        <v>114</v>
      </c>
      <c r="F170" s="20">
        <v>36</v>
      </c>
      <c r="G170" s="20">
        <v>475.02</v>
      </c>
      <c r="H170" s="20">
        <v>17100.72</v>
      </c>
      <c r="I170" s="20">
        <v>30800</v>
      </c>
      <c r="J170" s="21">
        <v>0.05</v>
      </c>
    </row>
    <row r="171" spans="1:10" ht="15" thickBot="1" x14ac:dyDescent="0.35">
      <c r="A171" s="25" t="s">
        <v>289</v>
      </c>
      <c r="B171" s="22" t="s">
        <v>91</v>
      </c>
      <c r="C171" s="22" t="s">
        <v>101</v>
      </c>
      <c r="D171" s="22" t="s">
        <v>14</v>
      </c>
      <c r="E171" s="22" t="s">
        <v>98</v>
      </c>
      <c r="F171" s="22">
        <v>17</v>
      </c>
      <c r="G171" s="22">
        <v>395.53</v>
      </c>
      <c r="H171" s="22">
        <v>6724.01</v>
      </c>
      <c r="I171" s="22">
        <v>16962</v>
      </c>
      <c r="J171" s="23">
        <v>7.0000000000000007E-2</v>
      </c>
    </row>
    <row r="172" spans="1:10" ht="15" thickBot="1" x14ac:dyDescent="0.35">
      <c r="A172" s="25" t="s">
        <v>290</v>
      </c>
      <c r="B172" s="20" t="s">
        <v>116</v>
      </c>
      <c r="C172" s="20" t="s">
        <v>94</v>
      </c>
      <c r="D172" s="20" t="s">
        <v>37</v>
      </c>
      <c r="E172" s="20" t="s">
        <v>111</v>
      </c>
      <c r="F172" s="20">
        <v>200</v>
      </c>
      <c r="G172" s="20">
        <v>281.56</v>
      </c>
      <c r="H172" s="20">
        <v>56312</v>
      </c>
      <c r="I172" s="20">
        <v>39429</v>
      </c>
      <c r="J172" s="21">
        <v>7.0000000000000007E-2</v>
      </c>
    </row>
    <row r="173" spans="1:10" ht="15" thickBot="1" x14ac:dyDescent="0.35">
      <c r="A173" s="25" t="s">
        <v>291</v>
      </c>
      <c r="B173" s="22" t="s">
        <v>124</v>
      </c>
      <c r="C173" s="22" t="s">
        <v>101</v>
      </c>
      <c r="D173" s="22" t="s">
        <v>25</v>
      </c>
      <c r="E173" s="22" t="s">
        <v>135</v>
      </c>
      <c r="F173" s="22">
        <v>157</v>
      </c>
      <c r="G173" s="22">
        <v>11.39</v>
      </c>
      <c r="H173" s="22">
        <v>1788.23</v>
      </c>
      <c r="I173" s="22">
        <v>10482</v>
      </c>
      <c r="J173" s="23">
        <v>7.0000000000000007E-2</v>
      </c>
    </row>
    <row r="174" spans="1:10" ht="15" thickBot="1" x14ac:dyDescent="0.35">
      <c r="A174" s="25" t="s">
        <v>292</v>
      </c>
      <c r="B174" s="20" t="s">
        <v>110</v>
      </c>
      <c r="C174" s="20" t="s">
        <v>19</v>
      </c>
      <c r="D174" s="20" t="s">
        <v>37</v>
      </c>
      <c r="E174" s="20" t="s">
        <v>111</v>
      </c>
      <c r="F174" s="20">
        <v>174</v>
      </c>
      <c r="G174" s="20">
        <v>434.56</v>
      </c>
      <c r="H174" s="20">
        <v>75613.440000000002</v>
      </c>
      <c r="I174" s="20">
        <v>9637</v>
      </c>
      <c r="J174" s="21">
        <v>0.05</v>
      </c>
    </row>
    <row r="175" spans="1:10" ht="15" thickBot="1" x14ac:dyDescent="0.35">
      <c r="A175" s="25" t="s">
        <v>293</v>
      </c>
      <c r="B175" s="22" t="s">
        <v>129</v>
      </c>
      <c r="C175" s="22" t="s">
        <v>101</v>
      </c>
      <c r="D175" s="22" t="s">
        <v>14</v>
      </c>
      <c r="E175" s="22" t="s">
        <v>108</v>
      </c>
      <c r="F175" s="22">
        <v>9</v>
      </c>
      <c r="G175" s="22">
        <v>95.38</v>
      </c>
      <c r="H175" s="22">
        <v>858.42</v>
      </c>
      <c r="I175" s="22">
        <v>4434</v>
      </c>
      <c r="J175" s="23">
        <v>7.0000000000000007E-2</v>
      </c>
    </row>
    <row r="176" spans="1:10" ht="15" thickBot="1" x14ac:dyDescent="0.35">
      <c r="A176" s="25" t="s">
        <v>294</v>
      </c>
      <c r="B176" s="20" t="s">
        <v>103</v>
      </c>
      <c r="C176" s="20" t="s">
        <v>104</v>
      </c>
      <c r="D176" s="20" t="s">
        <v>14</v>
      </c>
      <c r="E176" s="20" t="s">
        <v>111</v>
      </c>
      <c r="F176" s="20">
        <v>195</v>
      </c>
      <c r="G176" s="20">
        <v>41.14</v>
      </c>
      <c r="H176" s="20">
        <v>8022.3</v>
      </c>
      <c r="I176" s="20">
        <v>30378</v>
      </c>
      <c r="J176" s="21">
        <v>0.08</v>
      </c>
    </row>
    <row r="177" spans="1:10" ht="15" thickBot="1" x14ac:dyDescent="0.35">
      <c r="A177" s="25" t="s">
        <v>295</v>
      </c>
      <c r="B177" s="22" t="s">
        <v>110</v>
      </c>
      <c r="C177" s="22" t="s">
        <v>94</v>
      </c>
      <c r="D177" s="22" t="s">
        <v>10</v>
      </c>
      <c r="E177" s="22" t="s">
        <v>150</v>
      </c>
      <c r="F177" s="22">
        <v>133</v>
      </c>
      <c r="G177" s="22">
        <v>118.56</v>
      </c>
      <c r="H177" s="22">
        <v>15768.48</v>
      </c>
      <c r="I177" s="22">
        <v>41311</v>
      </c>
      <c r="J177" s="23">
        <v>0.05</v>
      </c>
    </row>
    <row r="178" spans="1:10" ht="15" thickBot="1" x14ac:dyDescent="0.35">
      <c r="A178" s="25" t="s">
        <v>296</v>
      </c>
      <c r="B178" s="20" t="s">
        <v>103</v>
      </c>
      <c r="C178" s="20" t="s">
        <v>94</v>
      </c>
      <c r="D178" s="20" t="s">
        <v>25</v>
      </c>
      <c r="E178" s="20" t="s">
        <v>150</v>
      </c>
      <c r="F178" s="20">
        <v>169</v>
      </c>
      <c r="G178" s="20">
        <v>482.37</v>
      </c>
      <c r="H178" s="20">
        <v>81520.53</v>
      </c>
      <c r="I178" s="20">
        <v>4986</v>
      </c>
      <c r="J178" s="21">
        <v>0.1</v>
      </c>
    </row>
    <row r="179" spans="1:10" ht="15" thickBot="1" x14ac:dyDescent="0.35">
      <c r="A179" s="25" t="s">
        <v>297</v>
      </c>
      <c r="B179" s="22" t="s">
        <v>124</v>
      </c>
      <c r="C179" s="22" t="s">
        <v>104</v>
      </c>
      <c r="D179" s="22" t="s">
        <v>22</v>
      </c>
      <c r="E179" s="22" t="s">
        <v>122</v>
      </c>
      <c r="F179" s="22">
        <v>32</v>
      </c>
      <c r="G179" s="22">
        <v>250.23</v>
      </c>
      <c r="H179" s="22">
        <v>8007.36</v>
      </c>
      <c r="I179" s="22">
        <v>30069</v>
      </c>
      <c r="J179" s="23">
        <v>0.05</v>
      </c>
    </row>
    <row r="180" spans="1:10" ht="15" thickBot="1" x14ac:dyDescent="0.35">
      <c r="A180" s="25" t="s">
        <v>298</v>
      </c>
      <c r="B180" s="20" t="s">
        <v>113</v>
      </c>
      <c r="C180" s="20" t="s">
        <v>16</v>
      </c>
      <c r="D180" s="20" t="s">
        <v>25</v>
      </c>
      <c r="E180" s="20" t="s">
        <v>95</v>
      </c>
      <c r="F180" s="20">
        <v>42</v>
      </c>
      <c r="G180" s="20">
        <v>42.18</v>
      </c>
      <c r="H180" s="20">
        <v>1771.56</v>
      </c>
      <c r="I180" s="20">
        <v>19023</v>
      </c>
      <c r="J180" s="21">
        <v>0.12</v>
      </c>
    </row>
    <row r="181" spans="1:10" ht="15" thickBot="1" x14ac:dyDescent="0.35">
      <c r="A181" s="25" t="s">
        <v>299</v>
      </c>
      <c r="B181" s="22" t="s">
        <v>91</v>
      </c>
      <c r="C181" s="22" t="s">
        <v>94</v>
      </c>
      <c r="D181" s="22" t="s">
        <v>14</v>
      </c>
      <c r="E181" s="22" t="s">
        <v>92</v>
      </c>
      <c r="F181" s="22">
        <v>88</v>
      </c>
      <c r="G181" s="22">
        <v>196.64</v>
      </c>
      <c r="H181" s="22">
        <v>17304.32</v>
      </c>
      <c r="I181" s="22">
        <v>40150</v>
      </c>
      <c r="J181" s="23">
        <v>0.12</v>
      </c>
    </row>
    <row r="182" spans="1:10" ht="15" thickBot="1" x14ac:dyDescent="0.35">
      <c r="A182" s="25" t="s">
        <v>300</v>
      </c>
      <c r="B182" s="20" t="s">
        <v>173</v>
      </c>
      <c r="C182" s="20" t="s">
        <v>104</v>
      </c>
      <c r="D182" s="20" t="s">
        <v>14</v>
      </c>
      <c r="E182" s="20" t="s">
        <v>95</v>
      </c>
      <c r="F182" s="20">
        <v>115</v>
      </c>
      <c r="G182" s="20">
        <v>58.6</v>
      </c>
      <c r="H182" s="20">
        <v>6739</v>
      </c>
      <c r="I182" s="20">
        <v>46991</v>
      </c>
      <c r="J182" s="21">
        <v>0.05</v>
      </c>
    </row>
    <row r="183" spans="1:10" ht="15" thickBot="1" x14ac:dyDescent="0.35">
      <c r="A183" s="25" t="s">
        <v>301</v>
      </c>
      <c r="B183" s="22" t="s">
        <v>124</v>
      </c>
      <c r="C183" s="22" t="s">
        <v>94</v>
      </c>
      <c r="D183" s="22" t="s">
        <v>37</v>
      </c>
      <c r="E183" s="22" t="s">
        <v>125</v>
      </c>
      <c r="F183" s="22">
        <v>120</v>
      </c>
      <c r="G183" s="22">
        <v>445.16</v>
      </c>
      <c r="H183" s="22">
        <v>53419.199999999997</v>
      </c>
      <c r="I183" s="22">
        <v>28119</v>
      </c>
      <c r="J183" s="23">
        <v>0.08</v>
      </c>
    </row>
    <row r="184" spans="1:10" ht="15" thickBot="1" x14ac:dyDescent="0.35">
      <c r="A184" s="25" t="s">
        <v>302</v>
      </c>
      <c r="B184" s="20" t="s">
        <v>124</v>
      </c>
      <c r="C184" s="20" t="s">
        <v>104</v>
      </c>
      <c r="D184" s="20" t="s">
        <v>22</v>
      </c>
      <c r="E184" s="20" t="s">
        <v>125</v>
      </c>
      <c r="F184" s="20">
        <v>191</v>
      </c>
      <c r="G184" s="20">
        <v>56.59</v>
      </c>
      <c r="H184" s="20">
        <v>10808.69</v>
      </c>
      <c r="I184" s="20">
        <v>28968</v>
      </c>
      <c r="J184" s="21">
        <v>0.08</v>
      </c>
    </row>
    <row r="185" spans="1:10" ht="15" thickBot="1" x14ac:dyDescent="0.35">
      <c r="A185" s="25" t="s">
        <v>303</v>
      </c>
      <c r="B185" s="22" t="s">
        <v>91</v>
      </c>
      <c r="C185" s="22" t="s">
        <v>19</v>
      </c>
      <c r="D185" s="22" t="s">
        <v>25</v>
      </c>
      <c r="E185" s="22" t="s">
        <v>135</v>
      </c>
      <c r="F185" s="22">
        <v>180</v>
      </c>
      <c r="G185" s="22">
        <v>462.26</v>
      </c>
      <c r="H185" s="22">
        <v>83206.8</v>
      </c>
      <c r="I185" s="22">
        <v>5399</v>
      </c>
      <c r="J185" s="23">
        <v>0.05</v>
      </c>
    </row>
    <row r="186" spans="1:10" ht="15" thickBot="1" x14ac:dyDescent="0.35">
      <c r="A186" s="25" t="s">
        <v>304</v>
      </c>
      <c r="B186" s="20" t="s">
        <v>124</v>
      </c>
      <c r="C186" s="20" t="s">
        <v>16</v>
      </c>
      <c r="D186" s="20" t="s">
        <v>10</v>
      </c>
      <c r="E186" s="20" t="s">
        <v>125</v>
      </c>
      <c r="F186" s="20">
        <v>29</v>
      </c>
      <c r="G186" s="20">
        <v>374.85</v>
      </c>
      <c r="H186" s="20">
        <v>10870.65</v>
      </c>
      <c r="I186" s="20">
        <v>25421</v>
      </c>
      <c r="J186" s="21">
        <v>7.0000000000000007E-2</v>
      </c>
    </row>
    <row r="187" spans="1:10" ht="15" thickBot="1" x14ac:dyDescent="0.35">
      <c r="A187" s="25" t="s">
        <v>305</v>
      </c>
      <c r="B187" s="22" t="s">
        <v>110</v>
      </c>
      <c r="C187" s="22" t="s">
        <v>16</v>
      </c>
      <c r="D187" s="22" t="s">
        <v>14</v>
      </c>
      <c r="E187" s="22" t="s">
        <v>130</v>
      </c>
      <c r="F187" s="22">
        <v>148</v>
      </c>
      <c r="G187" s="22">
        <v>171.53</v>
      </c>
      <c r="H187" s="22">
        <v>25386.44</v>
      </c>
      <c r="I187" s="22">
        <v>9010</v>
      </c>
      <c r="J187" s="23">
        <v>0.1</v>
      </c>
    </row>
    <row r="188" spans="1:10" ht="15" thickBot="1" x14ac:dyDescent="0.35">
      <c r="A188" s="25" t="s">
        <v>306</v>
      </c>
      <c r="B188" s="20" t="s">
        <v>129</v>
      </c>
      <c r="C188" s="20" t="s">
        <v>104</v>
      </c>
      <c r="D188" s="20" t="s">
        <v>10</v>
      </c>
      <c r="E188" s="20" t="s">
        <v>105</v>
      </c>
      <c r="F188" s="20">
        <v>158</v>
      </c>
      <c r="G188" s="20">
        <v>163.1</v>
      </c>
      <c r="H188" s="20">
        <v>25769.8</v>
      </c>
      <c r="I188" s="20">
        <v>7789</v>
      </c>
      <c r="J188" s="21">
        <v>0.12</v>
      </c>
    </row>
    <row r="189" spans="1:10" ht="15" thickBot="1" x14ac:dyDescent="0.35">
      <c r="A189" s="25" t="s">
        <v>307</v>
      </c>
      <c r="B189" s="22" t="s">
        <v>110</v>
      </c>
      <c r="C189" s="22" t="s">
        <v>101</v>
      </c>
      <c r="D189" s="22" t="s">
        <v>37</v>
      </c>
      <c r="E189" s="22" t="s">
        <v>122</v>
      </c>
      <c r="F189" s="22">
        <v>128</v>
      </c>
      <c r="G189" s="22">
        <v>119.88</v>
      </c>
      <c r="H189" s="22">
        <v>15344.64</v>
      </c>
      <c r="I189" s="22">
        <v>8092</v>
      </c>
      <c r="J189" s="23">
        <v>0.08</v>
      </c>
    </row>
    <row r="190" spans="1:10" ht="15" thickBot="1" x14ac:dyDescent="0.35">
      <c r="A190" s="25" t="s">
        <v>308</v>
      </c>
      <c r="B190" s="20" t="s">
        <v>124</v>
      </c>
      <c r="C190" s="20" t="s">
        <v>94</v>
      </c>
      <c r="D190" s="20" t="s">
        <v>25</v>
      </c>
      <c r="E190" s="20" t="s">
        <v>111</v>
      </c>
      <c r="F190" s="20">
        <v>200</v>
      </c>
      <c r="G190" s="20">
        <v>146.5</v>
      </c>
      <c r="H190" s="20">
        <v>29300</v>
      </c>
      <c r="I190" s="20">
        <v>15821</v>
      </c>
      <c r="J190" s="21">
        <v>0.1</v>
      </c>
    </row>
    <row r="191" spans="1:10" ht="15" thickBot="1" x14ac:dyDescent="0.35">
      <c r="A191" s="25" t="s">
        <v>309</v>
      </c>
      <c r="B191" s="22" t="s">
        <v>124</v>
      </c>
      <c r="C191" s="22" t="s">
        <v>94</v>
      </c>
      <c r="D191" s="22" t="s">
        <v>14</v>
      </c>
      <c r="E191" s="22" t="s">
        <v>95</v>
      </c>
      <c r="F191" s="22">
        <v>177</v>
      </c>
      <c r="G191" s="22">
        <v>324.92</v>
      </c>
      <c r="H191" s="22">
        <v>57510.84</v>
      </c>
      <c r="I191" s="22">
        <v>2720</v>
      </c>
      <c r="J191" s="23">
        <v>0.12</v>
      </c>
    </row>
    <row r="192" spans="1:10" ht="15" thickBot="1" x14ac:dyDescent="0.35">
      <c r="A192" s="25" t="s">
        <v>310</v>
      </c>
      <c r="B192" s="20" t="s">
        <v>113</v>
      </c>
      <c r="C192" s="20" t="s">
        <v>19</v>
      </c>
      <c r="D192" s="20" t="s">
        <v>10</v>
      </c>
      <c r="E192" s="20" t="s">
        <v>135</v>
      </c>
      <c r="F192" s="20">
        <v>74</v>
      </c>
      <c r="G192" s="20">
        <v>354.32</v>
      </c>
      <c r="H192" s="20">
        <v>26219.68</v>
      </c>
      <c r="I192" s="20">
        <v>21249</v>
      </c>
      <c r="J192" s="21">
        <v>0.08</v>
      </c>
    </row>
    <row r="193" spans="1:10" ht="15" thickBot="1" x14ac:dyDescent="0.35">
      <c r="A193" s="25" t="s">
        <v>311</v>
      </c>
      <c r="B193" s="22" t="s">
        <v>129</v>
      </c>
      <c r="C193" s="22" t="s">
        <v>16</v>
      </c>
      <c r="D193" s="22" t="s">
        <v>37</v>
      </c>
      <c r="E193" s="22" t="s">
        <v>135</v>
      </c>
      <c r="F193" s="22">
        <v>149</v>
      </c>
      <c r="G193" s="22">
        <v>332.1</v>
      </c>
      <c r="H193" s="22">
        <v>49482.9</v>
      </c>
      <c r="I193" s="22">
        <v>5560</v>
      </c>
      <c r="J193" s="23">
        <v>7.0000000000000007E-2</v>
      </c>
    </row>
    <row r="194" spans="1:10" ht="15" thickBot="1" x14ac:dyDescent="0.35">
      <c r="A194" s="25" t="s">
        <v>312</v>
      </c>
      <c r="B194" s="20" t="s">
        <v>103</v>
      </c>
      <c r="C194" s="20" t="s">
        <v>16</v>
      </c>
      <c r="D194" s="20" t="s">
        <v>10</v>
      </c>
      <c r="E194" s="20" t="s">
        <v>92</v>
      </c>
      <c r="F194" s="20">
        <v>140</v>
      </c>
      <c r="G194" s="20">
        <v>115.42</v>
      </c>
      <c r="H194" s="20">
        <v>16158.8</v>
      </c>
      <c r="I194" s="20">
        <v>28514</v>
      </c>
      <c r="J194" s="21">
        <v>0.1</v>
      </c>
    </row>
    <row r="195" spans="1:10" ht="15" thickBot="1" x14ac:dyDescent="0.35">
      <c r="A195" s="25" t="s">
        <v>313</v>
      </c>
      <c r="B195" s="22" t="s">
        <v>129</v>
      </c>
      <c r="C195" s="22" t="s">
        <v>101</v>
      </c>
      <c r="D195" s="22" t="s">
        <v>25</v>
      </c>
      <c r="E195" s="22" t="s">
        <v>105</v>
      </c>
      <c r="F195" s="22">
        <v>189</v>
      </c>
      <c r="G195" s="22">
        <v>168.95</v>
      </c>
      <c r="H195" s="22">
        <v>31931.55</v>
      </c>
      <c r="I195" s="22">
        <v>38197</v>
      </c>
      <c r="J195" s="23">
        <v>0.12</v>
      </c>
    </row>
    <row r="196" spans="1:10" ht="15" thickBot="1" x14ac:dyDescent="0.35">
      <c r="A196" s="25" t="s">
        <v>314</v>
      </c>
      <c r="B196" s="20" t="s">
        <v>107</v>
      </c>
      <c r="C196" s="20" t="s">
        <v>16</v>
      </c>
      <c r="D196" s="20" t="s">
        <v>37</v>
      </c>
      <c r="E196" s="20" t="s">
        <v>135</v>
      </c>
      <c r="F196" s="20">
        <v>198</v>
      </c>
      <c r="G196" s="20">
        <v>312.74</v>
      </c>
      <c r="H196" s="20">
        <v>61922.52</v>
      </c>
      <c r="I196" s="20">
        <v>45169</v>
      </c>
      <c r="J196" s="21">
        <v>0.05</v>
      </c>
    </row>
    <row r="197" spans="1:10" ht="15" thickBot="1" x14ac:dyDescent="0.35">
      <c r="A197" s="25" t="s">
        <v>315</v>
      </c>
      <c r="B197" s="22" t="s">
        <v>173</v>
      </c>
      <c r="C197" s="22" t="s">
        <v>104</v>
      </c>
      <c r="D197" s="22" t="s">
        <v>22</v>
      </c>
      <c r="E197" s="22" t="s">
        <v>150</v>
      </c>
      <c r="F197" s="22">
        <v>160</v>
      </c>
      <c r="G197" s="22">
        <v>226.6</v>
      </c>
      <c r="H197" s="22">
        <v>36256</v>
      </c>
      <c r="I197" s="22">
        <v>18902</v>
      </c>
      <c r="J197" s="23">
        <v>7.0000000000000007E-2</v>
      </c>
    </row>
    <row r="198" spans="1:10" ht="15" thickBot="1" x14ac:dyDescent="0.35">
      <c r="A198" s="25" t="s">
        <v>316</v>
      </c>
      <c r="B198" s="20" t="s">
        <v>116</v>
      </c>
      <c r="C198" s="20" t="s">
        <v>94</v>
      </c>
      <c r="D198" s="20" t="s">
        <v>10</v>
      </c>
      <c r="E198" s="20" t="s">
        <v>108</v>
      </c>
      <c r="F198" s="20">
        <v>115</v>
      </c>
      <c r="G198" s="20">
        <v>64.34</v>
      </c>
      <c r="H198" s="20">
        <v>7399.1</v>
      </c>
      <c r="I198" s="20">
        <v>45447</v>
      </c>
      <c r="J198" s="21">
        <v>0.12</v>
      </c>
    </row>
    <row r="199" spans="1:10" ht="15" thickBot="1" x14ac:dyDescent="0.35">
      <c r="A199" s="25" t="s">
        <v>317</v>
      </c>
      <c r="B199" s="22" t="s">
        <v>162</v>
      </c>
      <c r="C199" s="22" t="s">
        <v>94</v>
      </c>
      <c r="D199" s="22" t="s">
        <v>25</v>
      </c>
      <c r="E199" s="22" t="s">
        <v>98</v>
      </c>
      <c r="F199" s="22">
        <v>61</v>
      </c>
      <c r="G199" s="22">
        <v>203.68</v>
      </c>
      <c r="H199" s="22">
        <v>12424.48</v>
      </c>
      <c r="I199" s="22">
        <v>40277</v>
      </c>
      <c r="J199" s="23">
        <v>0.05</v>
      </c>
    </row>
    <row r="200" spans="1:10" ht="15" thickBot="1" x14ac:dyDescent="0.35">
      <c r="A200" s="25" t="s">
        <v>318</v>
      </c>
      <c r="B200" s="20" t="s">
        <v>169</v>
      </c>
      <c r="C200" s="20" t="s">
        <v>101</v>
      </c>
      <c r="D200" s="20" t="s">
        <v>25</v>
      </c>
      <c r="E200" s="20" t="s">
        <v>114</v>
      </c>
      <c r="F200" s="20">
        <v>40</v>
      </c>
      <c r="G200" s="20">
        <v>384.44</v>
      </c>
      <c r="H200" s="20">
        <v>15377.6</v>
      </c>
      <c r="I200" s="20">
        <v>19969</v>
      </c>
      <c r="J200" s="21">
        <v>0.08</v>
      </c>
    </row>
    <row r="201" spans="1:10" x14ac:dyDescent="0.3">
      <c r="A201" s="29" t="s">
        <v>319</v>
      </c>
      <c r="B201" s="30" t="s">
        <v>107</v>
      </c>
      <c r="C201" s="30" t="s">
        <v>16</v>
      </c>
      <c r="D201" s="30" t="s">
        <v>22</v>
      </c>
      <c r="E201" s="30" t="s">
        <v>92</v>
      </c>
      <c r="F201" s="30">
        <v>115</v>
      </c>
      <c r="G201" s="30">
        <v>96.09</v>
      </c>
      <c r="H201" s="30">
        <v>11050.35</v>
      </c>
      <c r="I201" s="30">
        <v>25917</v>
      </c>
      <c r="J201" s="31">
        <v>0.12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2CB1-1215-4C4D-930D-E557573D826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4CAB6-0456-4631-848D-015E336230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Angeline E</dc:creator>
  <cp:lastModifiedBy>Angeline E</cp:lastModifiedBy>
  <dcterms:created xsi:type="dcterms:W3CDTF">2026-05-29T07:29:58Z</dcterms:created>
  <dcterms:modified xsi:type="dcterms:W3CDTF">2026-05-31T18:20:07Z</dcterms:modified>
</cp:coreProperties>
</file>