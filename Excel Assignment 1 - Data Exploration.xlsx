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BIT ANNI\Desktop\"/>
    </mc:Choice>
  </mc:AlternateContent>
  <xr:revisionPtr revIDLastSave="0" documentId="13_ncr:1_{DF956B19-175F-4283-BA83-B97A0E3D23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10" i="1"/>
  <c r="D1048576" i="1"/>
  <c r="L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7" i="1"/>
  <c r="L6" i="1"/>
  <c r="L4" i="1"/>
  <c r="L3" i="1"/>
  <c r="L2" i="1"/>
</calcChain>
</file>

<file path=xl/sharedStrings.xml><?xml version="1.0" encoding="utf-8"?>
<sst xmlns="http://schemas.openxmlformats.org/spreadsheetml/2006/main" count="157" uniqueCount="108">
  <si>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</si>
  <si>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</si>
  <si>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</si>
  <si>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</si>
  <si>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</si>
  <si>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</si>
  <si>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</si>
  <si>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</si>
  <si>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</si>
  <si>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</si>
  <si>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</si>
  <si>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</si>
  <si>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</si>
  <si>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</si>
  <si>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</si>
  <si>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</si>
  <si>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</si>
  <si>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</si>
  <si>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</si>
  <si>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</si>
  <si>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</si>
  <si>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</si>
  <si>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</si>
  <si>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</si>
  <si>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</si>
  <si>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</si>
  <si>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</si>
  <si>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</si>
  <si>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</si>
  <si>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</si>
  <si>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</si>
  <si>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</si>
  <si>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</si>
  <si>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</si>
  <si>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</si>
  <si>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</si>
  <si>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</si>
  <si>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</si>
  <si>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</si>
  <si>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</si>
  <si>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</si>
  <si>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</si>
  <si>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</si>
  <si>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</si>
  <si>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</si>
  <si>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</si>
  <si>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</si>
  <si>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</si>
  <si>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</si>
  <si>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</si>
  <si>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</si>
  <si>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</si>
  <si>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</si>
  <si>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</si>
  <si>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</si>
  <si>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</si>
  <si>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</si>
  <si>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</si>
  <si>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</si>
  <si>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</si>
  <si>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</si>
  <si>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</si>
  <si>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</si>
  <si>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</si>
  <si>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</si>
  <si>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</si>
  <si>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</si>
  <si>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</si>
  <si>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</si>
  <si>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</si>
  <si>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</si>
  <si>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</si>
  <si>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</si>
  <si>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</si>
  <si>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</si>
  <si>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</si>
  <si>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</si>
  <si>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</si>
  <si>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</si>
  <si>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</si>
  <si>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</si>
  <si>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</si>
  <si>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</si>
  <si>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</si>
  <si>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</si>
  <si>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</si>
  <si>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</si>
  <si>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</si>
  <si>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</si>
  <si>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</si>
  <si>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</si>
  <si>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</si>
  <si>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</si>
  <si>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 in the dataset</t>
  </si>
  <si>
    <t>SUM,COUNT,AVERAGE</t>
  </si>
  <si>
    <t>Number of products in dataset</t>
  </si>
  <si>
    <t>Average price of the products.</t>
  </si>
  <si>
    <t>Minimum and Maximum Values</t>
  </si>
  <si>
    <t>Minimum price among all products.</t>
  </si>
  <si>
    <t>Maximum price among all products.</t>
  </si>
  <si>
    <t>Price Range.</t>
  </si>
  <si>
    <t>SUMIF and COUNTIF</t>
  </si>
  <si>
    <t>Total Price of Products in the Electronics Category</t>
  </si>
  <si>
    <t>Number of Products with a Price less than 100</t>
  </si>
  <si>
    <t>DAY</t>
  </si>
  <si>
    <t>Country Code</t>
  </si>
  <si>
    <t>Month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</si>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</sst>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4" borderId="0" xfId="0" applyFill="1"/>
    <xf numFmtId="0" fontId="0" fillId="0" borderId="1" xfId="0" applyBorder="1"/>
    <xf numFmtId="0" fontId="0" fillId="4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NumberFormat="1" applyFont="1" applyFill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F9135-119B-4F77-BE40-6553B84F646B}" name="Product_DB" displayName="Product_DB" ref="A1:J36" totalsRowCount="1" headerRowDxfId="20" dataDxfId="21">
  <autoFilter ref="A1:J35" xr:uid="{357F9135-119B-4F77-BE40-6553B84F646B}"/>
  <tableColumns count="10">
    <tableColumn id="1" xr3:uid="{9F4B44C1-4D82-4C39-AD02-33A404D3413E}" name="Product ID" dataDxfId="19" totalsRowDxfId="9"/>
    <tableColumn id="2" xr3:uid="{3370EDC6-6901-42FF-BB18-5B4E7B4CBCBC}" name="Product Name" dataDxfId="18" totalsRowDxfId="8"/>
    <tableColumn id="3" xr3:uid="{809994D0-A642-40D7-A749-23904B957B33}" name="Brand Name" dataDxfId="17" totalsRowDxfId="7"/>
    <tableColumn id="4" xr3:uid="{88F373EA-1299-4D27-B4EF-C69B793B51A8}" name="Price ($)" dataDxfId="16" totalsRowDxfId="6"/>
    <tableColumn id="5" xr3:uid="{85F7F753-82E9-4BEA-BD4D-A96CA8CBBE2E}" name="Quantity" dataDxfId="15" totalsRowDxfId="5"/>
    <tableColumn id="6" xr3:uid="{170093C9-4E08-4583-BEB0-3515489112E7}" name="Category" dataDxfId="14" totalsRowDxfId="4"/>
    <tableColumn id="7" xr3:uid="{58ED5FCD-8CA4-4465-B9CE-87DE254944CB}" name="Price Range." dataDxfId="13" totalsRowDxfId="3">
      <calculatedColumnFormula>IF(D2&gt;=500,"High Price","Standard Price")</calculatedColumnFormula>
    </tableColumn>
    <tableColumn id="8" xr3:uid="{DCD7AB7A-3E4C-4DA3-80BD-69CBBBC9C675}" name="DAY" dataDxfId="12" totalsRowDxfId="2">
      <calculatedColumnFormula>LEFT(Product_DB[[#This Row],[Product ID]],2)</calculatedColumnFormula>
    </tableColumn>
    <tableColumn id="9" xr3:uid="{3942A693-2060-46DA-B8C1-7CB6073229F8}" name="Country Code" dataDxfId="11" totalsRowDxfId="1">
      <calculatedColumnFormula>RIGHT(Product_DB[[#This Row],[Product ID]],2)</calculatedColumnFormula>
    </tableColumn>
    <tableColumn id="10" xr3:uid="{F1767015-5F83-496E-8D37-0ADC81FD8364}" name="Month" dataDxfId="10" totalsRowDxfId="0">
      <calculatedColumnFormula>MID(Product_DB[[#This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48576"/>
  <sheetViews>
    <sheetView tabSelected="1" workbookViewId="0">
      <selection activeCell="K10" sqref="K10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  <col min="7" max="7" width="18.5546875" customWidth="1"/>
    <col min="9" max="9" width="19.21875" customWidth="1"/>
    <col min="11" max="11" width="42.664062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</v>
      </c>
      <c r="H1" s="1" t="s">
        <v>104</v>
      </c>
      <c r="I1" s="1" t="s">
        <v>105</v>
      </c>
      <c r="J1" s="1" t="s">
        <v>106</v>
      </c>
      <c r="K1" s="4" t="s">
        <v>94</v>
      </c>
      <c r="L1" s="4" t="s">
        <v>107</v>
      </c>
    </row>
    <row r="2" spans="1:12" ht="15.75" customHeight="1" x14ac:dyDescent="0.25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10" t="str">
        <f t="shared" ref="G2:G35" si="0">IF(D2&gt;=500,"High Price","Standard Price")</f>
        <v>High Price</v>
      </c>
      <c r="H2" s="10" t="str">
        <f>LEFT(Product_DB[[#This Row],[Product ID]],2)</f>
        <v>28</v>
      </c>
      <c r="I2" s="10" t="str">
        <f>RIGHT(Product_DB[[#This Row],[Product ID]],2)</f>
        <v>US</v>
      </c>
      <c r="J2" s="11" t="str">
        <f>MID(Product_DB[[#This Row],[Product ID]],4,3)</f>
        <v>JAN</v>
      </c>
      <c r="K2" s="5" t="s">
        <v>93</v>
      </c>
      <c r="L2" s="3">
        <f>SUM(Product_DB[Price ($)])</f>
        <v>10100</v>
      </c>
    </row>
    <row r="3" spans="1:12" ht="15.75" customHeight="1" x14ac:dyDescent="0.25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10" t="str">
        <f t="shared" si="0"/>
        <v>Standard Price</v>
      </c>
      <c r="H3" s="10" t="str">
        <f>LEFT(Product_DB[[#This Row],[Product ID]],2)</f>
        <v>15</v>
      </c>
      <c r="I3" s="10" t="str">
        <f>RIGHT(Product_DB[[#This Row],[Product ID]],2)</f>
        <v>US</v>
      </c>
      <c r="J3" s="11" t="str">
        <f>MID(Product_DB[[#This Row],[Product ID]],4,3)</f>
        <v>FEB</v>
      </c>
      <c r="K3" s="6" t="s">
        <v>95</v>
      </c>
      <c r="L3" s="3">
        <f>COUNT(Product_DB[Price ($)])</f>
        <v>34</v>
      </c>
    </row>
    <row r="4" spans="1:12" ht="15.75" customHeight="1" thickBot="1" x14ac:dyDescent="0.3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10" t="str">
        <f t="shared" si="0"/>
        <v>Standard Price</v>
      </c>
      <c r="H4" s="10" t="str">
        <f>LEFT(Product_DB[[#This Row],[Product ID]],2)</f>
        <v>03</v>
      </c>
      <c r="I4" s="10" t="str">
        <f>RIGHT(Product_DB[[#This Row],[Product ID]],2)</f>
        <v>US</v>
      </c>
      <c r="J4" s="11" t="str">
        <f>MID(Product_DB[[#This Row],[Product ID]],4,3)</f>
        <v>MAR</v>
      </c>
      <c r="K4" s="7" t="s">
        <v>96</v>
      </c>
      <c r="L4" s="3">
        <f>AVERAGE(Product_DB[Price ($)])</f>
        <v>297.05882352941177</v>
      </c>
    </row>
    <row r="5" spans="1:12" ht="15.75" customHeight="1" thickTop="1" x14ac:dyDescent="0.25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10" t="str">
        <f t="shared" si="0"/>
        <v>High Price</v>
      </c>
      <c r="H5" s="10" t="str">
        <f>LEFT(Product_DB[[#This Row],[Product ID]],2)</f>
        <v>11</v>
      </c>
      <c r="I5" s="10" t="str">
        <f>RIGHT(Product_DB[[#This Row],[Product ID]],2)</f>
        <v>US</v>
      </c>
      <c r="J5" s="11" t="str">
        <f>MID(Product_DB[[#This Row],[Product ID]],4,3)</f>
        <v>APR</v>
      </c>
      <c r="K5" s="2" t="s">
        <v>97</v>
      </c>
      <c r="L5" s="3"/>
    </row>
    <row r="6" spans="1:12" ht="15.75" customHeight="1" x14ac:dyDescent="0.25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 t="s">
        <v>24</v>
      </c>
      <c r="G6" s="10" t="str">
        <f t="shared" si="0"/>
        <v>Standard Price</v>
      </c>
      <c r="H6" s="10" t="str">
        <f>LEFT(Product_DB[[#This Row],[Product ID]],2)</f>
        <v>22</v>
      </c>
      <c r="I6" s="10" t="str">
        <f>RIGHT(Product_DB[[#This Row],[Product ID]],2)</f>
        <v>US</v>
      </c>
      <c r="J6" s="11" t="str">
        <f>MID(Product_DB[[#This Row],[Product ID]],4,3)</f>
        <v>MAY</v>
      </c>
      <c r="K6" s="5" t="s">
        <v>98</v>
      </c>
      <c r="L6" s="3">
        <f>MIN(Product_DB[Price ($)])</f>
        <v>30</v>
      </c>
    </row>
    <row r="7" spans="1:12" ht="15.75" customHeight="1" thickBot="1" x14ac:dyDescent="0.3">
      <c r="A7" s="10" t="s">
        <v>25</v>
      </c>
      <c r="B7" s="10" t="s">
        <v>26</v>
      </c>
      <c r="C7" s="10" t="s">
        <v>27</v>
      </c>
      <c r="D7" s="10">
        <v>200</v>
      </c>
      <c r="E7" s="10">
        <v>45</v>
      </c>
      <c r="F7" s="10" t="s">
        <v>9</v>
      </c>
      <c r="G7" s="10" t="str">
        <f t="shared" si="0"/>
        <v>Standard Price</v>
      </c>
      <c r="H7" s="10" t="str">
        <f>LEFT(Product_DB[[#This Row],[Product ID]],2)</f>
        <v>07</v>
      </c>
      <c r="I7" s="10" t="str">
        <f>RIGHT(Product_DB[[#This Row],[Product ID]],2)</f>
        <v>UK</v>
      </c>
      <c r="J7" s="11" t="str">
        <f>MID(Product_DB[[#This Row],[Product ID]],4,3)</f>
        <v>JUN</v>
      </c>
      <c r="K7" s="8" t="s">
        <v>99</v>
      </c>
      <c r="L7" s="3">
        <f>MAX(Product_DB[Price ($)])</f>
        <v>1000</v>
      </c>
    </row>
    <row r="8" spans="1:12" ht="15.75" customHeight="1" x14ac:dyDescent="0.25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10" t="str">
        <f t="shared" si="0"/>
        <v>Standard Price</v>
      </c>
      <c r="H8" s="10" t="str">
        <f>LEFT(Product_DB[[#This Row],[Product ID]],2)</f>
        <v>19</v>
      </c>
      <c r="I8" s="10" t="str">
        <f>RIGHT(Product_DB[[#This Row],[Product ID]],2)</f>
        <v>UK</v>
      </c>
      <c r="J8" s="11" t="str">
        <f>MID(Product_DB[[#This Row],[Product ID]],4,3)</f>
        <v>JUL</v>
      </c>
      <c r="K8" s="2" t="s">
        <v>101</v>
      </c>
      <c r="L8" s="3"/>
    </row>
    <row r="9" spans="1:12" ht="15.75" customHeight="1" x14ac:dyDescent="0.25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10" t="str">
        <f t="shared" si="0"/>
        <v>Standard Price</v>
      </c>
      <c r="H9" s="10" t="str">
        <f>LEFT(Product_DB[[#This Row],[Product ID]],2)</f>
        <v>23</v>
      </c>
      <c r="I9" s="10" t="str">
        <f>RIGHT(Product_DB[[#This Row],[Product ID]],2)</f>
        <v>UK</v>
      </c>
      <c r="J9" s="11" t="str">
        <f>MID(Product_DB[[#This Row],[Product ID]],4,3)</f>
        <v>AUG</v>
      </c>
      <c r="K9" s="5" t="s">
        <v>102</v>
      </c>
      <c r="L9" s="3">
        <f>SUMIF(Product_DB[Category],"Electronics",Product_DB[Price ($)])</f>
        <v>8050</v>
      </c>
    </row>
    <row r="10" spans="1:12" ht="15.75" customHeight="1" thickBot="1" x14ac:dyDescent="0.3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10" t="str">
        <f t="shared" si="0"/>
        <v>High Price</v>
      </c>
      <c r="H10" s="10" t="str">
        <f>LEFT(Product_DB[[#This Row],[Product ID]],2)</f>
        <v>05</v>
      </c>
      <c r="I10" s="10" t="str">
        <f>RIGHT(Product_DB[[#This Row],[Product ID]],2)</f>
        <v>UK</v>
      </c>
      <c r="J10" s="11" t="str">
        <f>MID(Product_DB[[#This Row],[Product ID]],4,3)</f>
        <v>SEP</v>
      </c>
      <c r="K10" s="7" t="s">
        <v>103</v>
      </c>
      <c r="L10" s="3">
        <f>COUNTIF(Product_DB[Price ($)],"&lt;100")</f>
        <v>11</v>
      </c>
    </row>
    <row r="11" spans="1:12" ht="15.75" customHeight="1" thickTop="1" x14ac:dyDescent="0.25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24</v>
      </c>
      <c r="G11" s="10" t="str">
        <f t="shared" si="0"/>
        <v>Standard Price</v>
      </c>
      <c r="H11" s="10" t="str">
        <f>LEFT(Product_DB[[#This Row],[Product ID]],2)</f>
        <v>14</v>
      </c>
      <c r="I11" s="10" t="str">
        <f>RIGHT(Product_DB[[#This Row],[Product ID]],2)</f>
        <v>UK</v>
      </c>
      <c r="J11" s="11" t="str">
        <f>MID(Product_DB[[#This Row],[Product ID]],4,3)</f>
        <v>OCT</v>
      </c>
    </row>
    <row r="12" spans="1:12" ht="15.75" customHeight="1" x14ac:dyDescent="0.25">
      <c r="A12" s="9" t="s">
        <v>40</v>
      </c>
      <c r="B12" s="9" t="s">
        <v>7</v>
      </c>
      <c r="C12" s="9" t="s">
        <v>41</v>
      </c>
      <c r="D12" s="9">
        <v>950</v>
      </c>
      <c r="E12" s="9">
        <v>25</v>
      </c>
      <c r="F12" s="9" t="s">
        <v>9</v>
      </c>
      <c r="G12" s="10" t="str">
        <f t="shared" si="0"/>
        <v>High Price</v>
      </c>
      <c r="H12" s="10" t="str">
        <f>LEFT(Product_DB[[#This Row],[Product ID]],2)</f>
        <v>17</v>
      </c>
      <c r="I12" s="10" t="str">
        <f>RIGHT(Product_DB[[#This Row],[Product ID]],2)</f>
        <v>IN</v>
      </c>
      <c r="J12" s="11" t="str">
        <f>MID(Product_DB[[#This Row],[Product ID]],4,3)</f>
        <v>JUN</v>
      </c>
    </row>
    <row r="13" spans="1:12" ht="15.75" customHeight="1" x14ac:dyDescent="0.25">
      <c r="A13" s="10" t="s">
        <v>42</v>
      </c>
      <c r="B13" s="10" t="s">
        <v>11</v>
      </c>
      <c r="C13" s="10" t="s">
        <v>30</v>
      </c>
      <c r="D13" s="10">
        <v>90</v>
      </c>
      <c r="E13" s="10">
        <v>40</v>
      </c>
      <c r="F13" s="10" t="s">
        <v>13</v>
      </c>
      <c r="G13" s="10" t="str">
        <f t="shared" si="0"/>
        <v>Standard Price</v>
      </c>
      <c r="H13" s="10" t="str">
        <f>LEFT(Product_DB[[#This Row],[Product ID]],2)</f>
        <v>25</v>
      </c>
      <c r="I13" s="10" t="str">
        <f>RIGHT(Product_DB[[#This Row],[Product ID]],2)</f>
        <v>AU</v>
      </c>
      <c r="J13" s="11" t="str">
        <f>MID(Product_DB[[#This Row],[Product ID]],4,3)</f>
        <v>NOV</v>
      </c>
    </row>
    <row r="14" spans="1:12" ht="15.75" customHeight="1" x14ac:dyDescent="0.25">
      <c r="A14" s="9" t="s">
        <v>43</v>
      </c>
      <c r="B14" s="9" t="s">
        <v>15</v>
      </c>
      <c r="C14" s="9" t="s">
        <v>44</v>
      </c>
      <c r="D14" s="9">
        <v>120</v>
      </c>
      <c r="E14" s="9">
        <v>35</v>
      </c>
      <c r="F14" s="9" t="s">
        <v>17</v>
      </c>
      <c r="G14" s="10" t="str">
        <f t="shared" si="0"/>
        <v>Standard Price</v>
      </c>
      <c r="H14" s="10" t="str">
        <f>LEFT(Product_DB[[#This Row],[Product ID]],2)</f>
        <v>08</v>
      </c>
      <c r="I14" s="10" t="str">
        <f>RIGHT(Product_DB[[#This Row],[Product ID]],2)</f>
        <v>DE</v>
      </c>
      <c r="J14" s="11" t="str">
        <f>MID(Product_DB[[#This Row],[Product ID]],4,3)</f>
        <v>DEC</v>
      </c>
    </row>
    <row r="15" spans="1:12" ht="15.75" customHeight="1" x14ac:dyDescent="0.25">
      <c r="A15" s="10" t="s">
        <v>45</v>
      </c>
      <c r="B15" s="10" t="s">
        <v>46</v>
      </c>
      <c r="C15" s="10" t="s">
        <v>47</v>
      </c>
      <c r="D15" s="10">
        <v>150</v>
      </c>
      <c r="E15" s="10">
        <v>15</v>
      </c>
      <c r="F15" s="10" t="s">
        <v>9</v>
      </c>
      <c r="G15" s="10" t="str">
        <f t="shared" si="0"/>
        <v>Standard Price</v>
      </c>
      <c r="H15" s="10" t="str">
        <f>LEFT(Product_DB[[#This Row],[Product ID]],2)</f>
        <v>18</v>
      </c>
      <c r="I15" s="10" t="str">
        <f>RIGHT(Product_DB[[#This Row],[Product ID]],2)</f>
        <v>CA</v>
      </c>
      <c r="J15" s="11" t="str">
        <f>MID(Product_DB[[#This Row],[Product ID]],4,3)</f>
        <v>FEB</v>
      </c>
    </row>
    <row r="16" spans="1:12" ht="15.75" customHeight="1" x14ac:dyDescent="0.25">
      <c r="A16" s="9" t="s">
        <v>48</v>
      </c>
      <c r="B16" s="9" t="s">
        <v>26</v>
      </c>
      <c r="C16" s="9" t="s">
        <v>49</v>
      </c>
      <c r="D16" s="9">
        <v>250</v>
      </c>
      <c r="E16" s="9">
        <v>20</v>
      </c>
      <c r="F16" s="9" t="s">
        <v>9</v>
      </c>
      <c r="G16" s="10" t="str">
        <f t="shared" si="0"/>
        <v>Standard Price</v>
      </c>
      <c r="H16" s="10" t="str">
        <f>LEFT(Product_DB[[#This Row],[Product ID]],2)</f>
        <v>16</v>
      </c>
      <c r="I16" s="10" t="str">
        <f>RIGHT(Product_DB[[#This Row],[Product ID]],2)</f>
        <v>ES</v>
      </c>
      <c r="J16" s="11" t="str">
        <f>MID(Product_DB[[#This Row],[Product ID]],4,3)</f>
        <v>APR</v>
      </c>
    </row>
    <row r="17" spans="1:10" ht="15.75" customHeight="1" x14ac:dyDescent="0.25">
      <c r="A17" s="10" t="s">
        <v>50</v>
      </c>
      <c r="B17" s="10" t="s">
        <v>51</v>
      </c>
      <c r="C17" s="10" t="s">
        <v>52</v>
      </c>
      <c r="D17" s="10">
        <v>50</v>
      </c>
      <c r="E17" s="10">
        <v>35</v>
      </c>
      <c r="F17" s="10" t="s">
        <v>53</v>
      </c>
      <c r="G17" s="10" t="str">
        <f t="shared" si="0"/>
        <v>Standard Price</v>
      </c>
      <c r="H17" s="10" t="str">
        <f>LEFT(Product_DB[[#This Row],[Product ID]],2)</f>
        <v>21</v>
      </c>
      <c r="I17" s="10" t="str">
        <f>RIGHT(Product_DB[[#This Row],[Product ID]],2)</f>
        <v>CA</v>
      </c>
      <c r="J17" s="11" t="str">
        <f>MID(Product_DB[[#This Row],[Product ID]],4,3)</f>
        <v>AUG</v>
      </c>
    </row>
    <row r="18" spans="1:10" ht="15.75" customHeight="1" x14ac:dyDescent="0.25">
      <c r="A18" s="9" t="s">
        <v>54</v>
      </c>
      <c r="B18" s="9" t="s">
        <v>46</v>
      </c>
      <c r="C18" s="9" t="s">
        <v>55</v>
      </c>
      <c r="D18" s="9">
        <v>160</v>
      </c>
      <c r="E18" s="9">
        <v>15</v>
      </c>
      <c r="F18" s="9" t="s">
        <v>9</v>
      </c>
      <c r="G18" s="10" t="str">
        <f t="shared" si="0"/>
        <v>Standard Price</v>
      </c>
      <c r="H18" s="10" t="str">
        <f>LEFT(Product_DB[[#This Row],[Product ID]],2)</f>
        <v>20</v>
      </c>
      <c r="I18" s="10" t="str">
        <f>RIGHT(Product_DB[[#This Row],[Product ID]],2)</f>
        <v>CN</v>
      </c>
      <c r="J18" s="11" t="str">
        <f>MID(Product_DB[[#This Row],[Product ID]],4,3)</f>
        <v>AUG</v>
      </c>
    </row>
    <row r="19" spans="1:10" ht="15.75" customHeight="1" x14ac:dyDescent="0.25">
      <c r="A19" s="10" t="s">
        <v>56</v>
      </c>
      <c r="B19" s="10" t="s">
        <v>7</v>
      </c>
      <c r="C19" s="10" t="s">
        <v>57</v>
      </c>
      <c r="D19" s="10">
        <v>980</v>
      </c>
      <c r="E19" s="10">
        <v>10</v>
      </c>
      <c r="F19" s="10" t="s">
        <v>9</v>
      </c>
      <c r="G19" s="10" t="str">
        <f t="shared" si="0"/>
        <v>High Price</v>
      </c>
      <c r="H19" s="10" t="str">
        <f>LEFT(Product_DB[[#This Row],[Product ID]],2)</f>
        <v>27</v>
      </c>
      <c r="I19" s="10" t="str">
        <f>RIGHT(Product_DB[[#This Row],[Product ID]],2)</f>
        <v>IT</v>
      </c>
      <c r="J19" s="11" t="str">
        <f>MID(Product_DB[[#This Row],[Product ID]],4,3)</f>
        <v>JAN</v>
      </c>
    </row>
    <row r="20" spans="1:10" ht="15.75" customHeight="1" x14ac:dyDescent="0.25">
      <c r="A20" s="9" t="s">
        <v>58</v>
      </c>
      <c r="B20" s="9" t="s">
        <v>59</v>
      </c>
      <c r="C20" s="9" t="s">
        <v>60</v>
      </c>
      <c r="D20" s="9">
        <v>150</v>
      </c>
      <c r="E20" s="9">
        <v>15</v>
      </c>
      <c r="F20" s="9" t="s">
        <v>13</v>
      </c>
      <c r="G20" s="10" t="str">
        <f t="shared" si="0"/>
        <v>Standard Price</v>
      </c>
      <c r="H20" s="10" t="str">
        <f>LEFT(Product_DB[[#This Row],[Product ID]],2)</f>
        <v>01</v>
      </c>
      <c r="I20" s="10" t="str">
        <f>RIGHT(Product_DB[[#This Row],[Product ID]],2)</f>
        <v>UK</v>
      </c>
      <c r="J20" s="11" t="str">
        <f>MID(Product_DB[[#This Row],[Product ID]],4,3)</f>
        <v>MAR</v>
      </c>
    </row>
    <row r="21" spans="1:10" ht="15.75" customHeight="1" x14ac:dyDescent="0.25">
      <c r="A21" s="10" t="s">
        <v>61</v>
      </c>
      <c r="B21" s="10" t="s">
        <v>62</v>
      </c>
      <c r="C21" s="10" t="s">
        <v>63</v>
      </c>
      <c r="D21" s="10">
        <v>200</v>
      </c>
      <c r="E21" s="10">
        <v>10</v>
      </c>
      <c r="F21" s="10" t="s">
        <v>24</v>
      </c>
      <c r="G21" s="10" t="str">
        <f t="shared" si="0"/>
        <v>Standard Price</v>
      </c>
      <c r="H21" s="10" t="str">
        <f>LEFT(Product_DB[[#This Row],[Product ID]],2)</f>
        <v>14</v>
      </c>
      <c r="I21" s="10" t="str">
        <f>RIGHT(Product_DB[[#This Row],[Product ID]],2)</f>
        <v>US</v>
      </c>
      <c r="J21" s="11" t="str">
        <f>MID(Product_DB[[#This Row],[Product ID]],4,3)</f>
        <v>AUG</v>
      </c>
    </row>
    <row r="22" spans="1:10" ht="15.75" customHeight="1" x14ac:dyDescent="0.25">
      <c r="A22" s="9" t="s">
        <v>64</v>
      </c>
      <c r="B22" s="9" t="s">
        <v>65</v>
      </c>
      <c r="C22" s="9" t="s">
        <v>66</v>
      </c>
      <c r="D22" s="9">
        <v>700</v>
      </c>
      <c r="E22" s="9">
        <v>50</v>
      </c>
      <c r="F22" s="9" t="s">
        <v>9</v>
      </c>
      <c r="G22" s="10" t="str">
        <f t="shared" si="0"/>
        <v>High Price</v>
      </c>
      <c r="H22" s="10" t="str">
        <f>LEFT(Product_DB[[#This Row],[Product ID]],2)</f>
        <v>14</v>
      </c>
      <c r="I22" s="10" t="str">
        <f>RIGHT(Product_DB[[#This Row],[Product ID]],2)</f>
        <v>RU</v>
      </c>
      <c r="J22" s="11" t="str">
        <f>MID(Product_DB[[#This Row],[Product ID]],4,3)</f>
        <v>MAY</v>
      </c>
    </row>
    <row r="23" spans="1:10" ht="15.75" customHeight="1" x14ac:dyDescent="0.25">
      <c r="A23" s="10" t="s">
        <v>67</v>
      </c>
      <c r="B23" s="10" t="s">
        <v>68</v>
      </c>
      <c r="C23" s="10" t="s">
        <v>69</v>
      </c>
      <c r="D23" s="10">
        <v>80</v>
      </c>
      <c r="E23" s="10">
        <v>20</v>
      </c>
      <c r="F23" s="10" t="s">
        <v>17</v>
      </c>
      <c r="G23" s="10" t="str">
        <f t="shared" si="0"/>
        <v>Standard Price</v>
      </c>
      <c r="H23" s="10" t="str">
        <f>LEFT(Product_DB[[#This Row],[Product ID]],2)</f>
        <v>09</v>
      </c>
      <c r="I23" s="10" t="str">
        <f>RIGHT(Product_DB[[#This Row],[Product ID]],2)</f>
        <v>CA</v>
      </c>
      <c r="J23" s="11" t="str">
        <f>MID(Product_DB[[#This Row],[Product ID]],4,3)</f>
        <v>JAN</v>
      </c>
    </row>
    <row r="24" spans="1:10" ht="15.75" customHeight="1" x14ac:dyDescent="0.25">
      <c r="A24" s="9" t="s">
        <v>70</v>
      </c>
      <c r="B24" s="9" t="s">
        <v>71</v>
      </c>
      <c r="C24" s="9" t="s">
        <v>72</v>
      </c>
      <c r="D24" s="9">
        <v>150</v>
      </c>
      <c r="E24" s="9">
        <v>30</v>
      </c>
      <c r="F24" s="9" t="s">
        <v>9</v>
      </c>
      <c r="G24" s="10" t="str">
        <f t="shared" si="0"/>
        <v>Standard Price</v>
      </c>
      <c r="H24" s="10" t="str">
        <f>LEFT(Product_DB[[#This Row],[Product ID]],2)</f>
        <v>19</v>
      </c>
      <c r="I24" s="10" t="str">
        <f>RIGHT(Product_DB[[#This Row],[Product ID]],2)</f>
        <v>BR</v>
      </c>
      <c r="J24" s="11" t="str">
        <f>MID(Product_DB[[#This Row],[Product ID]],4,3)</f>
        <v>JUL</v>
      </c>
    </row>
    <row r="25" spans="1:10" ht="15.75" customHeight="1" x14ac:dyDescent="0.25">
      <c r="A25" s="10" t="s">
        <v>50</v>
      </c>
      <c r="B25" s="10" t="s">
        <v>51</v>
      </c>
      <c r="C25" s="10" t="s">
        <v>52</v>
      </c>
      <c r="D25" s="10">
        <v>50</v>
      </c>
      <c r="E25" s="10">
        <v>35</v>
      </c>
      <c r="F25" s="10" t="s">
        <v>53</v>
      </c>
      <c r="G25" s="10" t="str">
        <f t="shared" si="0"/>
        <v>Standard Price</v>
      </c>
      <c r="H25" s="10" t="str">
        <f>LEFT(Product_DB[[#This Row],[Product ID]],2)</f>
        <v>21</v>
      </c>
      <c r="I25" s="10" t="str">
        <f>RIGHT(Product_DB[[#This Row],[Product ID]],2)</f>
        <v>CA</v>
      </c>
      <c r="J25" s="11" t="str">
        <f>MID(Product_DB[[#This Row],[Product ID]],4,3)</f>
        <v>AUG</v>
      </c>
    </row>
    <row r="26" spans="1:10" ht="15.75" customHeight="1" x14ac:dyDescent="0.25">
      <c r="A26" s="9" t="s">
        <v>73</v>
      </c>
      <c r="B26" s="9" t="s">
        <v>19</v>
      </c>
      <c r="C26" s="9" t="s">
        <v>74</v>
      </c>
      <c r="D26" s="9">
        <v>800</v>
      </c>
      <c r="E26" s="9">
        <v>45</v>
      </c>
      <c r="F26" s="9" t="s">
        <v>9</v>
      </c>
      <c r="G26" s="10" t="str">
        <f t="shared" si="0"/>
        <v>High Price</v>
      </c>
      <c r="H26" s="10" t="str">
        <f>LEFT(Product_DB[[#This Row],[Product ID]],2)</f>
        <v>29</v>
      </c>
      <c r="I26" s="10" t="str">
        <f>RIGHT(Product_DB[[#This Row],[Product ID]],2)</f>
        <v>CA</v>
      </c>
      <c r="J26" s="11" t="str">
        <f>MID(Product_DB[[#This Row],[Product ID]],4,3)</f>
        <v>SEP</v>
      </c>
    </row>
    <row r="27" spans="1:10" ht="15.75" customHeight="1" x14ac:dyDescent="0.25">
      <c r="A27" s="10" t="s">
        <v>75</v>
      </c>
      <c r="B27" s="10" t="s">
        <v>59</v>
      </c>
      <c r="C27" s="10" t="s">
        <v>76</v>
      </c>
      <c r="D27" s="10">
        <v>130</v>
      </c>
      <c r="E27" s="10">
        <v>25</v>
      </c>
      <c r="F27" s="10" t="s">
        <v>13</v>
      </c>
      <c r="G27" s="10" t="str">
        <f t="shared" si="0"/>
        <v>Standard Price</v>
      </c>
      <c r="H27" s="10" t="str">
        <f>LEFT(Product_DB[[#This Row],[Product ID]],2)</f>
        <v>03</v>
      </c>
      <c r="I27" s="10" t="str">
        <f>RIGHT(Product_DB[[#This Row],[Product ID]],2)</f>
        <v>CA</v>
      </c>
      <c r="J27" s="11" t="str">
        <f>MID(Product_DB[[#This Row],[Product ID]],4,3)</f>
        <v>JUN</v>
      </c>
    </row>
    <row r="28" spans="1:10" ht="15.75" customHeight="1" x14ac:dyDescent="0.25">
      <c r="A28" s="9" t="s">
        <v>77</v>
      </c>
      <c r="B28" s="9" t="s">
        <v>32</v>
      </c>
      <c r="C28" s="9" t="s">
        <v>78</v>
      </c>
      <c r="D28" s="9">
        <v>400</v>
      </c>
      <c r="E28" s="9">
        <v>40</v>
      </c>
      <c r="F28" s="9" t="s">
        <v>17</v>
      </c>
      <c r="G28" s="10" t="str">
        <f t="shared" si="0"/>
        <v>Standard Price</v>
      </c>
      <c r="H28" s="10" t="str">
        <f>LEFT(Product_DB[[#This Row],[Product ID]],2)</f>
        <v>11</v>
      </c>
      <c r="I28" s="10" t="str">
        <f>RIGHT(Product_DB[[#This Row],[Product ID]],2)</f>
        <v>CA</v>
      </c>
      <c r="J28" s="11" t="str">
        <f>MID(Product_DB[[#This Row],[Product ID]],4,3)</f>
        <v>JUL</v>
      </c>
    </row>
    <row r="29" spans="1:10" ht="15.75" customHeight="1" x14ac:dyDescent="0.25">
      <c r="A29" s="10" t="s">
        <v>48</v>
      </c>
      <c r="B29" s="10" t="s">
        <v>26</v>
      </c>
      <c r="C29" s="10" t="s">
        <v>49</v>
      </c>
      <c r="D29" s="10">
        <v>230</v>
      </c>
      <c r="E29" s="10">
        <v>20</v>
      </c>
      <c r="F29" s="10" t="s">
        <v>9</v>
      </c>
      <c r="G29" s="10" t="str">
        <f t="shared" si="0"/>
        <v>Standard Price</v>
      </c>
      <c r="H29" s="10" t="str">
        <f>LEFT(Product_DB[[#This Row],[Product ID]],2)</f>
        <v>16</v>
      </c>
      <c r="I29" s="10" t="str">
        <f>RIGHT(Product_DB[[#This Row],[Product ID]],2)</f>
        <v>ES</v>
      </c>
      <c r="J29" s="11" t="str">
        <f>MID(Product_DB[[#This Row],[Product ID]],4,3)</f>
        <v>APR</v>
      </c>
    </row>
    <row r="30" spans="1:10" ht="15.75" customHeight="1" x14ac:dyDescent="0.25">
      <c r="A30" s="9" t="s">
        <v>79</v>
      </c>
      <c r="B30" s="9" t="s">
        <v>80</v>
      </c>
      <c r="C30" s="9" t="s">
        <v>81</v>
      </c>
      <c r="D30" s="9">
        <v>60</v>
      </c>
      <c r="E30" s="9">
        <v>30</v>
      </c>
      <c r="F30" s="9" t="s">
        <v>13</v>
      </c>
      <c r="G30" s="10" t="str">
        <f t="shared" si="0"/>
        <v>Standard Price</v>
      </c>
      <c r="H30" s="10" t="str">
        <f>LEFT(Product_DB[[#This Row],[Product ID]],2)</f>
        <v>07</v>
      </c>
      <c r="I30" s="10" t="str">
        <f>RIGHT(Product_DB[[#This Row],[Product ID]],2)</f>
        <v>CA</v>
      </c>
      <c r="J30" s="11" t="str">
        <f>MID(Product_DB[[#This Row],[Product ID]],4,3)</f>
        <v>MAR</v>
      </c>
    </row>
    <row r="31" spans="1:10" ht="15.75" customHeight="1" x14ac:dyDescent="0.25">
      <c r="A31" s="10" t="s">
        <v>82</v>
      </c>
      <c r="B31" s="10" t="s">
        <v>83</v>
      </c>
      <c r="C31" s="10" t="s">
        <v>84</v>
      </c>
      <c r="D31" s="10">
        <v>40</v>
      </c>
      <c r="E31" s="10">
        <v>10</v>
      </c>
      <c r="F31" s="10" t="s">
        <v>17</v>
      </c>
      <c r="G31" s="10" t="str">
        <f t="shared" si="0"/>
        <v>Standard Price</v>
      </c>
      <c r="H31" s="10" t="str">
        <f>LEFT(Product_DB[[#This Row],[Product ID]],2)</f>
        <v>13</v>
      </c>
      <c r="I31" s="10" t="str">
        <f>RIGHT(Product_DB[[#This Row],[Product ID]],2)</f>
        <v>CA</v>
      </c>
      <c r="J31" s="11" t="str">
        <f>MID(Product_DB[[#This Row],[Product ID]],4,3)</f>
        <v>APR</v>
      </c>
    </row>
    <row r="32" spans="1:10" ht="15.75" customHeight="1" x14ac:dyDescent="0.25">
      <c r="A32" s="9" t="s">
        <v>85</v>
      </c>
      <c r="B32" s="9" t="s">
        <v>71</v>
      </c>
      <c r="C32" s="9" t="s">
        <v>86</v>
      </c>
      <c r="D32" s="9">
        <v>130</v>
      </c>
      <c r="E32" s="9">
        <v>5</v>
      </c>
      <c r="F32" s="9" t="s">
        <v>9</v>
      </c>
      <c r="G32" s="10" t="str">
        <f t="shared" si="0"/>
        <v>Standard Price</v>
      </c>
      <c r="H32" s="10" t="str">
        <f>LEFT(Product_DB[[#This Row],[Product ID]],2)</f>
        <v>24</v>
      </c>
      <c r="I32" s="10" t="str">
        <f>RIGHT(Product_DB[[#This Row],[Product ID]],2)</f>
        <v>CA</v>
      </c>
      <c r="J32" s="11" t="str">
        <f>MID(Product_DB[[#This Row],[Product ID]],4,3)</f>
        <v>MAY</v>
      </c>
    </row>
    <row r="33" spans="1:10" ht="15.75" customHeight="1" x14ac:dyDescent="0.25">
      <c r="A33" s="10" t="s">
        <v>87</v>
      </c>
      <c r="B33" s="10" t="s">
        <v>88</v>
      </c>
      <c r="C33" s="10" t="s">
        <v>89</v>
      </c>
      <c r="D33" s="10">
        <v>50</v>
      </c>
      <c r="E33" s="10">
        <v>50</v>
      </c>
      <c r="F33" s="10" t="s">
        <v>13</v>
      </c>
      <c r="G33" s="10" t="str">
        <f t="shared" si="0"/>
        <v>Standard Price</v>
      </c>
      <c r="H33" s="10" t="str">
        <f>LEFT(Product_DB[[#This Row],[Product ID]],2)</f>
        <v>02</v>
      </c>
      <c r="I33" s="10" t="str">
        <f>RIGHT(Product_DB[[#This Row],[Product ID]],2)</f>
        <v>CA</v>
      </c>
      <c r="J33" s="11" t="str">
        <f>MID(Product_DB[[#This Row],[Product ID]],4,3)</f>
        <v>DEC</v>
      </c>
    </row>
    <row r="34" spans="1:10" ht="15.75" customHeight="1" x14ac:dyDescent="0.25">
      <c r="A34" s="9" t="s">
        <v>40</v>
      </c>
      <c r="B34" s="9" t="s">
        <v>7</v>
      </c>
      <c r="C34" s="9" t="s">
        <v>41</v>
      </c>
      <c r="D34" s="9">
        <v>950</v>
      </c>
      <c r="E34" s="9">
        <v>25</v>
      </c>
      <c r="F34" s="9" t="s">
        <v>9</v>
      </c>
      <c r="G34" s="10" t="str">
        <f t="shared" si="0"/>
        <v>High Price</v>
      </c>
      <c r="H34" s="10" t="str">
        <f>LEFT(Product_DB[[#This Row],[Product ID]],2)</f>
        <v>17</v>
      </c>
      <c r="I34" s="10" t="str">
        <f>RIGHT(Product_DB[[#This Row],[Product ID]],2)</f>
        <v>IN</v>
      </c>
      <c r="J34" s="11" t="str">
        <f>MID(Product_DB[[#This Row],[Product ID]],4,3)</f>
        <v>JUN</v>
      </c>
    </row>
    <row r="35" spans="1:10" ht="15.75" customHeight="1" x14ac:dyDescent="0.25">
      <c r="A35" s="10" t="s">
        <v>90</v>
      </c>
      <c r="B35" s="10" t="s">
        <v>91</v>
      </c>
      <c r="C35" s="10" t="s">
        <v>92</v>
      </c>
      <c r="D35" s="10">
        <v>100</v>
      </c>
      <c r="E35" s="10">
        <v>20</v>
      </c>
      <c r="F35" s="10" t="s">
        <v>53</v>
      </c>
      <c r="G35" s="10" t="str">
        <f t="shared" si="0"/>
        <v>Standard Price</v>
      </c>
      <c r="H35" s="10" t="str">
        <f>LEFT(Product_DB[[#This Row],[Product ID]],2)</f>
        <v>09</v>
      </c>
      <c r="I35" s="10" t="str">
        <f>RIGHT(Product_DB[[#This Row],[Product ID]],2)</f>
        <v>FR</v>
      </c>
      <c r="J35" s="11" t="str">
        <f>MID(Product_DB[[#This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48576" spans="4:4" ht="15" customHeight="1" x14ac:dyDescent="0.25">
      <c r="D1048576">
        <f>SUM(D2:D1048575)</f>
        <v>10100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BABIT ANNI</dc:creator>
  <cp:lastModifiedBy>Angeline E</cp:lastModifiedBy>
  <dcterms:created xsi:type="dcterms:W3CDTF">2026-06-02T15:21:14Z</dcterms:created>
  <dcterms:modified xsi:type="dcterms:W3CDTF">2026-06-05T20:13:54Z</dcterms:modified>
</cp:coreProperties>
</file>